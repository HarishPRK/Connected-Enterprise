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1bd241240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6b4d6cf7a094e11"/>
    <x:sheet xmlns:r="http://schemas.openxmlformats.org/officeDocument/2006/relationships" name="Activity Tracker" sheetId="2" r:id="R415e51e3401943bf"/>
    <x:sheet xmlns:r="http://schemas.openxmlformats.org/officeDocument/2006/relationships" name="Lists &amp; Guide" sheetId="3" r:id="R4aaff44d09b5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Carlito"/>
    </x:font>
    <x:font>
      <x:b/>
      <x:sz val="18"/>
      <x:color rgb="FF12304A"/>
      <x:name val="Carlito"/>
    </x:font>
    <x:font>
      <x:b/>
      <x:sz val="11"/>
      <x:color rgb="FF92400E"/>
      <x:name val="Carlito"/>
    </x:font>
    <x:font>
      <x:i/>
      <x:sz val="10"/>
      <x:color rgb="FF475569"/>
      <x:name val="Aptos"/>
    </x:font>
    <x:font>
      <x:b/>
      <x:sz val="10"/>
      <x:color rgb="FF12304A"/>
      <x:name val="Aptos"/>
    </x:font>
    <x:font>
      <x:b/>
      <x:sz val="10"/>
      <x:color rgb="FF92400E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1F6FEB"/>
      </x:patternFill>
    </x:fill>
    <x:fill>
      <x:patternFill patternType="solid">
        <x:fgColor rgb="FF0F766E"/>
      </x:patternFill>
    </x:fill>
    <x:fill>
      <x:patternFill patternType="solid">
        <x:fgColor rgb="FFEAF3FF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FFFBEB"/>
      </x:patternFill>
    </x:fill>
    <x:fill>
      <x:patternFill patternType="solid">
        <x:fgColor rgb="FF1F6FEB"/>
      </x:patternFill>
    </x:fill>
    <x:fill>
      <x:patternFill patternType="solid">
        <x:fgColor rgb="FF1F6FEB"/>
      </x:patternFill>
    </x:fill>
    <x:fill>
      <x:patternFill patternType="solid">
        <x:fgColor rgb="FF1F6FEB"/>
      </x:patternFill>
    </x:fill>
  </x:fills>
  <x:borders count="31">
    <x:border/>
    <x:border>
      <x:left style="thin">
        <x:color rgb="FF1F6FEB"/>
      </x:left>
      <x:top style="thin">
        <x:color rgb="FF1F6FEB"/>
      </x:top>
      <x:bottom style="thin">
        <x:color rgb="FF1F6FEB"/>
      </x:bottom>
    </x:border>
    <x:border>
      <x:top style="thin">
        <x:color rgb="FF1F6FEB"/>
      </x:top>
      <x:bottom style="thin">
        <x:color rgb="FF1F6FEB"/>
      </x:bottom>
    </x:border>
    <x:border>
      <x:right style="thin">
        <x:color rgb="FF1F6FEB"/>
      </x:right>
      <x:top style="thin">
        <x:color rgb="FF1F6FEB"/>
      </x:top>
      <x:bottom style="thin">
        <x:color rgb="FF1F6F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1F6FEB"/>
      </x:left>
      <x:right style="thin">
        <x:color rgb="FFE5E7EB"/>
      </x:right>
      <x:top style="thin">
        <x:color rgb="FF1F6F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1F6FEB"/>
      </x:top>
      <x:bottom style="thin">
        <x:color rgb="FFE5E7EB"/>
      </x:bottom>
    </x:border>
    <x:border>
      <x:left style="thin">
        <x:color rgb="FFE5E7EB"/>
      </x:left>
      <x:top style="thin">
        <x:color rgb="FF1F6FEB"/>
      </x:top>
      <x:bottom style="thin">
        <x:color rgb="FFE5E7EB"/>
      </x:bottom>
    </x:border>
    <x:border>
      <x:left style="thin">
        <x:color rgb="FF1F6F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left style="thin">
        <x:color rgb="FF1F6FEB"/>
      </x:left>
      <x:right style="thin">
        <x:color rgb="FFE5E7EB"/>
      </x:right>
      <x:top style="thin">
        <x:color rgb="FFE5E7EB"/>
      </x:top>
      <x:bottom style="thin">
        <x:color rgb="FF1F6F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1F6FEB"/>
      </x:bottom>
    </x:border>
    <x:border>
      <x:left style="thin">
        <x:color rgb="FFE5E7EB"/>
      </x:left>
      <x:top style="thin">
        <x:color rgb="FFE5E7EB"/>
      </x:top>
      <x:bottom style="thin">
        <x:color rgb="FF1F6F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FFF4D6"/>
      </x:left>
      <x:top style="thin">
        <x:color rgb="FFFFF4D6"/>
      </x:top>
    </x:border>
    <x:border>
      <x:top style="thin">
        <x:color rgb="FFFFF4D6"/>
      </x:top>
    </x:border>
    <x:border>
      <x:right style="thin">
        <x:color rgb="FFFFF4D6"/>
      </x:right>
      <x:top style="thin">
        <x:color rgb="FFFFF4D6"/>
      </x:top>
    </x:border>
    <x:border>
      <x:left style="thin">
        <x:color rgb="FFFFF4D6"/>
      </x:left>
    </x:border>
    <x:border>
      <x:right style="thin">
        <x:color rgb="FFFFF4D6"/>
      </x:right>
    </x:border>
    <x:border>
      <x:left style="thin">
        <x:color rgb="FFFFF4D6"/>
      </x:left>
      <x:bottom style="thin">
        <x:color rgb="FFFFF4D6"/>
      </x:bottom>
    </x:border>
    <x:border>
      <x:bottom style="thin">
        <x:color rgb="FFFFF4D6"/>
      </x:bottom>
    </x:border>
    <x:border>
      <x:right style="thin">
        <x:color rgb="FFFFF4D6"/>
      </x:right>
      <x:bottom style="thin">
        <x:color rgb="FFFFF4D6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4" fillId="3" borderId="13" xfId="0" applyNumberFormat="1" applyFont="1" applyFill="1" applyBorder="1" applyAlignment="1">
      <x:alignment horizontal="center" vertical="center"/>
    </x:xf>
    <x:xf numFmtId="0" fontId="4" fillId="3" borderId="14" xfId="0" applyNumberFormat="1" applyFont="1" applyFill="1" applyBorder="1" applyAlignment="1">
      <x:alignment horizontal="center" vertical="center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200" fontId="5" fillId="0" borderId="17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0" fontId="5" fillId="0" borderId="19" xfId="0" applyNumberFormat="1" applyFont="1" applyFill="1" applyBorder="1" applyAlignment="1">
      <x:alignment vertical="center"/>
    </x:xf>
    <x:xf numFmtId="0" fontId="5" fillId="0" borderId="2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 wrapText="1"/>
    </x:xf>
    <x:xf numFmtId="201" fontId="0" fillId="0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7" xfId="0" applyNumberFormat="1" applyFont="1" applyFill="1" applyBorder="1"/>
    <x:xf numFmtId="0" fontId="9" fillId="6" borderId="21" xfId="0" applyNumberFormat="1" applyFont="1" applyFill="1" applyBorder="1"/>
    <x:xf numFmtId="0" fontId="9" fillId="6" borderId="22" xfId="0" applyNumberFormat="1" applyFont="1" applyFill="1" applyBorder="1"/>
    <x:xf numFmtId="0" fontId="9" fillId="6" borderId="17" xfId="0" applyNumberFormat="1" applyFont="1" applyFill="1" applyBorder="1" applyAlignment="1">
      <x:alignment horizontal="center"/>
    </x:xf>
    <x:xf numFmtId="0" fontId="9" fillId="6" borderId="21" xfId="0" applyNumberFormat="1" applyFont="1" applyFill="1" applyBorder="1" applyAlignment="1">
      <x:alignment horizontal="center"/>
    </x:xf>
    <x:xf numFmtId="0" fontId="9" fillId="6" borderId="22" xfId="0" applyNumberFormat="1" applyFont="1" applyFill="1" applyBorder="1" applyAlignment="1">
      <x:alignment horizontal="center"/>
    </x:xf>
    <x:xf numFmtId="0" fontId="9" fillId="6" borderId="17" xfId="0" applyNumberFormat="1" applyFont="1" applyFill="1" applyBorder="1" applyAlignment="1">
      <x:alignment horizontal="center" vertical="center"/>
    </x:xf>
    <x:xf numFmtId="0" fontId="9" fillId="6" borderId="21" xfId="0" applyNumberFormat="1" applyFont="1" applyFill="1" applyBorder="1" applyAlignment="1">
      <x:alignment horizontal="center" vertical="center"/>
    </x:xf>
    <x:xf numFmtId="0" fontId="9" fillId="6" borderId="22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200" fontId="9" fillId="6" borderId="17" xfId="0" applyNumberFormat="1" applyFont="1" applyFill="1" applyBorder="1" applyAlignment="1">
      <x:alignment horizontal="center" vertical="center"/>
    </x:xf>
    <x:xf numFmtId="200" fontId="9" fillId="6" borderId="2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3" xfId="0" applyNumberFormat="1" applyFont="1" applyFill="1" applyBorder="1"/>
    <x:xf numFmtId="0" fontId="3" fillId="8" borderId="24" xfId="0" applyNumberFormat="1" applyFont="1" applyFill="1" applyBorder="1"/>
    <x:xf numFmtId="0" fontId="3" fillId="8" borderId="25" xfId="0" applyNumberFormat="1" applyFont="1" applyFill="1" applyBorder="1"/>
    <x:xf numFmtId="0" fontId="3" fillId="8" borderId="26" xfId="0" applyNumberFormat="1" applyFont="1" applyFill="1" applyBorder="1"/>
    <x:xf numFmtId="0" fontId="3" fillId="8" borderId="27" xfId="0" applyNumberFormat="1" applyFont="1" applyFill="1" applyBorder="1"/>
    <x:xf numFmtId="0" fontId="3" fillId="8" borderId="28" xfId="0" applyNumberFormat="1" applyFont="1" applyFill="1" applyBorder="1"/>
    <x:xf numFmtId="0" fontId="3" fillId="8" borderId="29" xfId="0" applyNumberFormat="1" applyFont="1" applyFill="1" applyBorder="1"/>
    <x:xf numFmtId="0" fontId="3" fillId="8" borderId="30" xfId="0" applyNumberFormat="1" applyFont="1" applyFill="1" applyBorder="1"/>
    <x:xf numFmtId="0" fontId="3" fillId="8" borderId="23" xfId="0" applyNumberFormat="1" applyFont="1" applyFill="1" applyBorder="1" applyAlignment="1">
      <x:alignment wrapText="1"/>
    </x:xf>
    <x:xf numFmtId="0" fontId="3" fillId="8" borderId="24" xfId="0" applyNumberFormat="1" applyFont="1" applyFill="1" applyBorder="1" applyAlignment="1">
      <x:alignment wrapText="1"/>
    </x:xf>
    <x:xf numFmtId="0" fontId="3" fillId="8" borderId="25" xfId="0" applyNumberFormat="1" applyFont="1" applyFill="1" applyBorder="1" applyAlignment="1">
      <x:alignment wrapText="1"/>
    </x:xf>
    <x:xf numFmtId="0" fontId="3" fillId="8" borderId="26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27" xfId="0" applyNumberFormat="1" applyFont="1" applyFill="1" applyBorder="1" applyAlignment="1">
      <x:alignment wrapText="1"/>
    </x:xf>
    <x:xf numFmtId="0" fontId="3" fillId="8" borderId="28" xfId="0" applyNumberFormat="1" applyFont="1" applyFill="1" applyBorder="1" applyAlignment="1">
      <x:alignment wrapText="1"/>
    </x:xf>
    <x:xf numFmtId="0" fontId="3" fillId="8" borderId="29" xfId="0" applyNumberFormat="1" applyFont="1" applyFill="1" applyBorder="1" applyAlignment="1">
      <x:alignment wrapText="1"/>
    </x:xf>
    <x:xf numFmtId="0" fontId="3" fillId="8" borderId="30" xfId="0" applyNumberFormat="1" applyFont="1" applyFill="1" applyBorder="1" applyAlignment="1">
      <x:alignment wrapText="1"/>
    </x:xf>
    <x:xf numFmtId="0" fontId="3" fillId="8" borderId="23" xfId="0" applyNumberFormat="1" applyFont="1" applyFill="1" applyBorder="1" applyAlignment="1">
      <x:alignment vertical="center" wrapText="1"/>
    </x:xf>
    <x:xf numFmtId="0" fontId="3" fillId="8" borderId="24" xfId="0" applyNumberFormat="1" applyFont="1" applyFill="1" applyBorder="1" applyAlignment="1">
      <x:alignment vertical="center" wrapText="1"/>
    </x:xf>
    <x:xf numFmtId="0" fontId="3" fillId="8" borderId="25" xfId="0" applyNumberFormat="1" applyFont="1" applyFill="1" applyBorder="1" applyAlignment="1">
      <x:alignment vertical="center" wrapText="1"/>
    </x:xf>
    <x:xf numFmtId="0" fontId="3" fillId="8" borderId="26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27" xfId="0" applyNumberFormat="1" applyFont="1" applyFill="1" applyBorder="1" applyAlignment="1">
      <x:alignment vertical="center" wrapText="1"/>
    </x:xf>
    <x:xf numFmtId="0" fontId="3" fillId="8" borderId="28" xfId="0" applyNumberFormat="1" applyFont="1" applyFill="1" applyBorder="1" applyAlignment="1">
      <x:alignment vertical="center" wrapText="1"/>
    </x:xf>
    <x:xf numFmtId="0" fontId="3" fillId="8" borderId="29" xfId="0" applyNumberFormat="1" applyFont="1" applyFill="1" applyBorder="1" applyAlignment="1">
      <x:alignment vertical="center" wrapText="1"/>
    </x:xf>
    <x:xf numFmtId="0" fontId="3" fillId="8" borderId="30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202" fontId="0" fillId="0" borderId="16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5" fillId="0" borderId="16" xfId="0" applyNumberFormat="1" applyFont="1" applyFill="1" applyBorder="1"/>
    <x:xf numFmtId="0" fontId="12" fillId="6" borderId="17" xfId="0" applyNumberFormat="1" applyFont="1" applyFill="1" applyBorder="1" applyAlignment="1">
      <x:alignment horizontal="center" vertical="center"/>
    </x:xf>
    <x:xf numFmtId="0" fontId="12" fillId="6" borderId="21" xfId="0" applyNumberFormat="1" applyFont="1" applyFill="1" applyBorder="1" applyAlignment="1">
      <x:alignment horizontal="center" vertical="center"/>
    </x:xf>
    <x:xf numFmtId="0" fontId="12" fillId="6" borderId="2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12" fillId="6" borderId="17" xfId="0" applyNumberFormat="1" applyFont="1" applyFill="1" applyBorder="1" applyAlignment="1">
      <x:alignment horizontal="center" vertical="center"/>
    </x:xf>
    <x:xf numFmtId="200" fontId="12" fillId="6" borderId="21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/>
    <x:xf numFmtId="0" fontId="6" fillId="8" borderId="23" xfId="0" applyNumberFormat="1" applyFont="1" applyFill="1" applyBorder="1" applyAlignment="1">
      <x:alignment vertical="center" wrapText="1"/>
    </x:xf>
    <x:xf numFmtId="0" fontId="6" fillId="8" borderId="24" xfId="0" applyNumberFormat="1" applyFont="1" applyFill="1" applyBorder="1" applyAlignment="1">
      <x:alignment vertical="center" wrapText="1"/>
    </x:xf>
    <x:xf numFmtId="0" fontId="6" fillId="8" borderId="25" xfId="0" applyNumberFormat="1" applyFont="1" applyFill="1" applyBorder="1" applyAlignment="1">
      <x:alignment vertical="center" wrapText="1"/>
    </x:xf>
    <x:xf numFmtId="0" fontId="6" fillId="8" borderId="26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27" xfId="0" applyNumberFormat="1" applyFont="1" applyFill="1" applyBorder="1" applyAlignment="1">
      <x:alignment vertical="center" wrapText="1"/>
    </x:xf>
    <x:xf numFmtId="0" fontId="6" fillId="8" borderId="28" xfId="0" applyNumberFormat="1" applyFont="1" applyFill="1" applyBorder="1" applyAlignment="1">
      <x:alignment vertical="center" wrapText="1"/>
    </x:xf>
    <x:xf numFmtId="0" fontId="6" fillId="8" borderId="29" xfId="0" applyNumberFormat="1" applyFont="1" applyFill="1" applyBorder="1" applyAlignment="1">
      <x:alignment vertical="center" wrapText="1"/>
    </x:xf>
    <x:xf numFmtId="0" fontId="6" fillId="8" borderId="3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5" fillId="0" borderId="16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ont>
        <x:color rgb="FF92400E"/>
      </x:font>
      <x:fill>
        <x:patternFill>
          <x:bgColor rgb="FFFFF4D6"/>
        </x:patternFill>
      </x:fill>
    </x:dxf>
    <x:dxf>
      <x:font>
        <x:color rgb="FF1D4ED8"/>
      </x:font>
      <x:fill>
        <x:patternFill>
          <x:bgColor rgb="FFEAF3FF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color rgb="FF047857"/>
      </x:font>
      <x:fill>
        <x:patternFill>
          <x:bgColor rgb="FFE7F7F4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2400E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470cf0c0d4085" /><Relationship Type="http://schemas.openxmlformats.org/officeDocument/2006/relationships/theme" Target="/xl/theme/theme1.xml" Id="R78d06296d7164898" /><Relationship Type="http://schemas.openxmlformats.org/officeDocument/2006/relationships/sharedStrings" Target="/xl/sharedStrings.xml" Id="Rfab74d1dcd424647" /><Relationship Type="http://schemas.openxmlformats.org/officeDocument/2006/relationships/worksheet" Target="/xl/worksheets/sheet1.xml" Id="R46b4d6cf7a094e11" /><Relationship Type="http://schemas.openxmlformats.org/officeDocument/2006/relationships/worksheet" Target="/xl/worksheets/sheet2.xml" Id="R415e51e3401943bf" /><Relationship Type="http://schemas.openxmlformats.org/officeDocument/2006/relationships/worksheet" Target="/xl/worksheets/sheet3.xml" Id="R4aaff44d09b548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441e6938c544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Activities by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'Dashboard'!$J$4:$J$8</c:f>
              <c:strCache>
                <c:ptCount val="0"/>
              </c:strCache>
            </c:strRef>
          </c:cat>
          <c:val>
            <c:numRef>
              <c:f>'Dashboard'!$K$4:$K$8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441e6938c544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itiesTable" displayName="ActivitiesTable" ref="A8:S48" headerRowCount="1" totalsRowCount="0" totalsRowShown="0">
  <x:autoFilter ref="A8:S48"/>
  <x:tableColumns count="19">
    <x:tableColumn id="1" name="Task ID"/>
    <x:tableColumn id="2" name="Project / Section"/>
    <x:tableColumn id="3" name="Activity"/>
    <x:tableColumn id="4" name="Description"/>
    <x:tableColumn id="5" name="Type"/>
    <x:tableColumn id="6" name="Priority"/>
    <x:tableColumn id="7" name="Complexity"/>
    <x:tableColumn id="8" name="Status"/>
    <x:tableColumn id="9" name="Owner"/>
    <x:tableColumn id="10" name="Start Date"/>
    <x:tableColumn id="11" name="Due Date"/>
    <x:tableColumn id="12" name="Est. Days"/>
    <x:tableColumn id="13" name="Est. Hours"/>
    <x:tableColumn id="14" name="Actual Hours"/>
    <x:tableColumn id="15" name="Remaining Hours"/>
    <x:tableColumn id="16" name="Days Left"/>
    <x:tableColumn id="17" name="Overdue?"/>
    <x:tableColumn id="18" name="Dependencies"/>
    <x:tableColumn id="19" name="Notes / Backend D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d3ac79b49a4f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87d5e3c0064b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16" hidden="0" customWidth="1"/>
    <x:col min="11" max="11" width="11" hidden="0" customWidth="1"/>
    <x:col min="12" max="12" width="3" hidden="0" customWidth="1"/>
    <x:col min="13" max="13" width="24" hidden="0" customWidth="1"/>
    <x:col min="14" max="14" width="10" hidden="0" customWidth="1"/>
    <x:col min="15" max="15" width="3" hidden="0" customWidth="1"/>
    <x:col min="16" max="16" width="3" hidden="0" customWidth="1"/>
    <x:col min="17" max="17" width="3" hidden="0" customWidth="1"/>
  </x:cols>
  <x:sheetData>
    <x:row r="1" ht="24" customHeight="1">
      <x:c r="A1" s="65" t="str">
        <x:v>Connected Enterprise | Pending Activity Overview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</x:row>
    <x:row r="2" ht="24" customHeight="1">
      <x:c r="A2" s="154" t="str">
        <x:v>30-task cross-project starter list: Connected Enterprise, Project QSR, and Smart Factory. Update the Activity Tracker fields as work progresses.</x:v>
      </x:c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</x:row>
    <x:row r="3">
      <x:c r="A3" s="155"/>
      <x:c r="B3" s="155"/>
      <x:c r="C3" s="155"/>
      <x:c r="D3" s="155"/>
      <x:c r="E3" s="155"/>
      <x:c r="F3" s="155"/>
      <x:c r="G3" s="155"/>
      <x:c r="H3" s="155"/>
      <x:c r="I3" s="155"/>
      <x:c r="J3" s="156" t="str">
        <x:v>Status</x:v>
      </x:c>
      <x:c r="K3" s="156" t="str">
        <x:v>Count</x:v>
      </x:c>
      <x:c r="L3" s="155"/>
      <x:c r="M3" s="180" t="str">
        <x:v>Project</x:v>
      </x:c>
      <x:c r="N3" s="180" t="str">
        <x:v>Count</x:v>
      </x:c>
      <x:c r="O3" s="155"/>
      <x:c r="P3" s="155"/>
      <x:c r="Q3" s="155"/>
    </x:row>
    <x:row r="4">
      <x:c r="A4" s="157" t="str">
        <x:v>Total Activities</x:v>
      </x:c>
      <x:c r="B4" s="157" t="str"/>
      <x:c r="C4" s="157" t="str">
        <x:v>Pending / Open</x:v>
      </x:c>
      <x:c r="D4" s="157" t="str"/>
      <x:c r="E4" s="157" t="str">
        <x:v>In Progress</x:v>
      </x:c>
      <x:c r="F4" s="157" t="str"/>
      <x:c r="G4" s="157" t="str">
        <x:v>Blocked</x:v>
      </x:c>
      <x:c r="H4" s="157" t="str"/>
      <x:c r="I4" s="155"/>
      <x:c r="J4" s="158" t="str">
        <x:v>Pending</x:v>
      </x:c>
      <x:c r="K4" s="158" t="n">
        <x:f>COUNTIF('Activity Tracker'!$H$9:$H$108,J4)</x:f>
        <x:v>30</x:v>
      </x:c>
      <x:c r="L4" s="155"/>
      <x:c r="M4" s="178" t="str">
        <x:v>Connected Enterprise</x:v>
      </x:c>
      <x:c r="N4" s="158" t="n">
        <x:f>COUNTIF('Activity Tracker'!$A$9:$A$108,"CI-001")+COUNTIF('Activity Tracker'!$A$9:$A$108,"AI-001")+COUNTIF('Activity Tracker'!$A$9:$A$108,"UI-001")+COUNTIF('Activity Tracker'!$A$9:$A$108,"GWT-001")+COUNTIF('Activity Tracker'!$A$9:$A$108,"DEV-001")+COUNTIF('Activity Tracker'!$A$9:$A$108,"INC-001")+COUNTIF('Activity Tracker'!$A$9:$A$108,"POL-001")+COUNTIF('Activity Tracker'!$A$9:$A$108,"TOP-001")+COUNTIF('Activity Tracker'!$A$9:$A$108,"RPT-001")+COUNTIF('Activity Tracker'!$A$9:$A$108,"PERF-001")</x:f>
        <x:v>10</x:v>
      </x:c>
      <x:c r="O4" s="155"/>
      <x:c r="P4" s="155"/>
      <x:c r="Q4" s="155"/>
    </x:row>
    <x:row r="5" ht="32" customHeight="1">
      <x:c r="A5" s="159" t="n">
        <x:f>SUM(K4:K8)</x:f>
        <x:v>30</x:v>
      </x:c>
      <x:c r="B5" s="160"/>
      <x:c r="C5" s="160" t="n">
        <x:f>SUM(K4:K7)</x:f>
        <x:v>30</x:v>
      </x:c>
      <x:c r="D5" s="160"/>
      <x:c r="E5" s="160" t="n">
        <x:f>COUNTIF('Activity Tracker'!$H$9:$H$108,"In Progress")</x:f>
        <x:v>0</x:v>
      </x:c>
      <x:c r="F5" s="160"/>
      <x:c r="G5" s="160" t="n">
        <x:f>COUNTIF('Activity Tracker'!$H$9:$H$108,"Blocked")</x:f>
        <x:v>0</x:v>
      </x:c>
      <x:c r="H5" s="161"/>
      <x:c r="I5" s="155"/>
      <x:c r="J5" s="158" t="str">
        <x:v>In Progress</x:v>
      </x:c>
      <x:c r="K5" s="158" t="n">
        <x:f>COUNTIF('Activity Tracker'!$H$9:$H$108,J5)</x:f>
        <x:v>0</x:v>
      </x:c>
      <x:c r="L5" s="155"/>
      <x:c r="M5" s="178" t="str">
        <x:v>Project QSR</x:v>
      </x:c>
      <x:c r="N5" s="158" t="n">
        <x:f>COUNTIF('Activity Tracker'!$A$9:$A$108,"QSR-001")+COUNTIF('Activity Tracker'!$A$9:$A$108,"QSR-002")+COUNTIF('Activity Tracker'!$A$9:$A$108,"QSR-003")+COUNTIF('Activity Tracker'!$A$9:$A$108,"QSR-004")+COUNTIF('Activity Tracker'!$A$9:$A$108,"QSR-005")+COUNTIF('Activity Tracker'!$A$9:$A$108,"QSR-006")+COUNTIF('Activity Tracker'!$A$9:$A$108,"QSR-007")+COUNTIF('Activity Tracker'!$A$9:$A$108,"QSR-008")+COUNTIF('Activity Tracker'!$A$9:$A$108,"QSR-009")+COUNTIF('Activity Tracker'!$A$9:$A$108,"QSR-010")</x:f>
        <x:v>10</x:v>
      </x:c>
      <x:c r="O5" s="155"/>
      <x:c r="P5" s="155"/>
      <x:c r="Q5" s="155"/>
    </x:row>
    <x:row r="6">
      <x:c r="A6" s="155"/>
      <x:c r="B6" s="155"/>
      <x:c r="C6" s="155"/>
      <x:c r="D6" s="155"/>
      <x:c r="E6" s="155"/>
      <x:c r="F6" s="155"/>
      <x:c r="G6" s="155"/>
      <x:c r="H6" s="155"/>
      <x:c r="I6" s="155"/>
      <x:c r="J6" s="158" t="str">
        <x:v>Blocked</x:v>
      </x:c>
      <x:c r="K6" s="158" t="n">
        <x:f>COUNTIF('Activity Tracker'!$H$9:$H$108,J6)</x:f>
        <x:v>0</x:v>
      </x:c>
      <x:c r="L6" s="155"/>
      <x:c r="M6" s="178" t="str">
        <x:v>Smart Factory</x:v>
      </x:c>
      <x:c r="N6" s="158" t="n">
        <x:f>COUNTIF('Activity Tracker'!$A$9:$A$108,"SF-001")+COUNTIF('Activity Tracker'!$A$9:$A$108,"SF-002")+COUNTIF('Activity Tracker'!$A$9:$A$108,"SF-003")+COUNTIF('Activity Tracker'!$A$9:$A$108,"SF-004")+COUNTIF('Activity Tracker'!$A$9:$A$108,"SF-005")+COUNTIF('Activity Tracker'!$A$9:$A$108,"SF-006")+COUNTIF('Activity Tracker'!$A$9:$A$108,"SF-007")+COUNTIF('Activity Tracker'!$A$9:$A$108,"SF-008")+COUNTIF('Activity Tracker'!$A$9:$A$108,"SF-009")+COUNTIF('Activity Tracker'!$A$9:$A$108,"SF-010")</x:f>
        <x:v>10</x:v>
      </x:c>
      <x:c r="O6" s="155"/>
      <x:c r="P6" s="155"/>
      <x:c r="Q6" s="155"/>
    </x:row>
    <x:row r="7">
      <x:c r="A7" s="155"/>
      <x:c r="B7" s="155"/>
      <x:c r="C7" s="155"/>
      <x:c r="D7" s="155"/>
      <x:c r="E7" s="155"/>
      <x:c r="F7" s="155"/>
      <x:c r="G7" s="155"/>
      <x:c r="H7" s="155"/>
      <x:c r="I7" s="155"/>
      <x:c r="J7" s="158" t="str">
        <x:v>On Hold</x:v>
      </x:c>
      <x:c r="K7" s="158" t="n">
        <x:f>COUNTIF('Activity Tracker'!$H$9:$H$108,J7)</x:f>
        <x:v>0</x:v>
      </x:c>
      <x:c r="L7" s="155"/>
      <x:c r="M7" s="155"/>
      <x:c r="N7" s="155"/>
      <x:c r="O7" s="155"/>
      <x:c r="P7" s="155"/>
      <x:c r="Q7" s="155"/>
    </x:row>
    <x:row r="8">
      <x:c r="A8" s="162" t="str">
        <x:v>Estimated Days</x:v>
      </x:c>
      <x:c r="B8" s="162" t="str"/>
      <x:c r="C8" s="162" t="str">
        <x:v>Estimated Hours</x:v>
      </x:c>
      <x:c r="D8" s="162" t="str"/>
      <x:c r="E8" s="162" t="str">
        <x:v>Remaining Hours</x:v>
      </x:c>
      <x:c r="F8" s="162" t="str"/>
      <x:c r="G8" s="162" t="str">
        <x:v>Overdue</x:v>
      </x:c>
      <x:c r="H8" s="162" t="str"/>
      <x:c r="I8" s="155"/>
      <x:c r="J8" s="158" t="str">
        <x:v>Completed</x:v>
      </x:c>
      <x:c r="K8" s="158" t="n">
        <x:f>COUNTIF('Activity Tracker'!$H$9:$H$108,J8)</x:f>
        <x:v>0</x:v>
      </x:c>
      <x:c r="L8" s="155"/>
      <x:c r="M8" s="155"/>
      <x:c r="N8" s="155"/>
      <x:c r="O8" s="155"/>
      <x:c r="P8" s="155"/>
      <x:c r="Q8" s="155"/>
    </x:row>
    <x:row r="9" ht="32" customHeight="1">
      <x:c r="A9" s="163" t="n">
        <x:f>SUM('Activity Tracker'!$L$9:$L$108)</x:f>
        <x:v>139</x:v>
      </x:c>
      <x:c r="B9" s="164"/>
      <x:c r="C9" s="164" t="n">
        <x:f>SUM('Activity Tracker'!$M$9:$M$108)</x:f>
        <x:v>1112</x:v>
      </x:c>
      <x:c r="D9" s="164"/>
      <x:c r="E9" s="164" t="n">
        <x:f>SUM('Activity Tracker'!$O$9:$O$108)</x:f>
        <x:v>1112</x:v>
      </x:c>
      <x:c r="F9" s="164"/>
      <x:c r="G9" s="160" t="n">
        <x:f>COUNTIF('Activity Tracker'!$Q$9:$Q$108,"Yes")</x:f>
        <x:v>0</x:v>
      </x:c>
      <x:c r="H9" s="161"/>
      <x:c r="I9" s="155"/>
      <x:c r="J9" s="155"/>
      <x:c r="K9" s="155"/>
      <x:c r="L9" s="155"/>
      <x:c r="M9" s="155"/>
      <x:c r="N9" s="155"/>
      <x:c r="O9" s="155"/>
      <x:c r="P9" s="155"/>
      <x:c r="Q9" s="155"/>
    </x:row>
    <x:row r="10">
      <x:c r="A10" s="155"/>
      <x:c r="B10" s="155"/>
      <x:c r="C10" s="155"/>
      <x:c r="D10" s="155"/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5"/>
      <x:c r="Q10" s="155"/>
    </x:row>
    <x:row r="11">
      <x:c r="A11" s="155"/>
      <x:c r="B11" s="155"/>
      <x:c r="C11" s="155"/>
      <x:c r="D11" s="155"/>
      <x:c r="E11" s="155"/>
      <x:c r="F11" s="155"/>
      <x:c r="G11" s="155"/>
      <x:c r="H11" s="155"/>
      <x:c r="I11" s="155"/>
      <x:c r="J11" s="155"/>
      <x:c r="K11" s="155"/>
      <x:c r="L11" s="155"/>
      <x:c r="M11" s="155"/>
      <x:c r="N11" s="155"/>
      <x:c r="O11" s="155"/>
      <x:c r="P11" s="155"/>
      <x:c r="Q11" s="155"/>
    </x:row>
    <x:row r="12">
      <x:c r="A12" s="165" t="str">
        <x:v>Tracking note</x:v>
      </x:c>
      <x:c r="B12" s="165"/>
      <x:c r="C12" s="165"/>
      <x:c r="D12" s="165"/>
      <x:c r="E12" s="165"/>
      <x:c r="F12" s="165"/>
      <x:c r="G12" s="165"/>
      <x:c r="H12" s="165"/>
      <x:c r="I12" s="155"/>
      <x:c r="J12" s="155"/>
      <x:c r="K12" s="155"/>
      <x:c r="L12" s="155"/>
      <x:c r="M12" s="155"/>
      <x:c r="N12" s="155"/>
      <x:c r="O12" s="155"/>
      <x:c r="P12" s="155"/>
      <x:c r="Q12" s="155"/>
    </x:row>
    <x:row r="13">
      <x:c r="A13" s="166" t="str">
        <x:v>Estimates and dates are indicative planning values. Update Owner, Status, Actual Hours, and Due Date to keep the tracker current.</x:v>
      </x:c>
      <x:c r="B13" s="167"/>
      <x:c r="C13" s="167"/>
      <x:c r="D13" s="167"/>
      <x:c r="E13" s="167"/>
      <x:c r="F13" s="167"/>
      <x:c r="G13" s="167"/>
      <x:c r="H13" s="168"/>
      <x:c r="I13" s="155"/>
      <x:c r="J13" s="155"/>
      <x:c r="K13" s="155"/>
      <x:c r="L13" s="155"/>
      <x:c r="M13" s="155"/>
      <x:c r="N13" s="155"/>
      <x:c r="O13" s="155"/>
      <x:c r="P13" s="155"/>
      <x:c r="Q13" s="155"/>
    </x:row>
    <x:row r="14">
      <x:c r="A14" s="169"/>
      <x:c r="B14" s="170"/>
      <x:c r="C14" s="170"/>
      <x:c r="D14" s="170"/>
      <x:c r="E14" s="170"/>
      <x:c r="F14" s="170"/>
      <x:c r="G14" s="170"/>
      <x:c r="H14" s="171"/>
      <x:c r="I14" s="155"/>
      <x:c r="J14" s="155"/>
      <x:c r="K14" s="155"/>
      <x:c r="L14" s="155"/>
      <x:c r="M14" s="155"/>
      <x:c r="N14" s="155"/>
      <x:c r="O14" s="155"/>
      <x:c r="P14" s="155"/>
      <x:c r="Q14" s="155"/>
    </x:row>
    <x:row r="15">
      <x:c r="A15" s="172"/>
      <x:c r="B15" s="173"/>
      <x:c r="C15" s="173"/>
      <x:c r="D15" s="173"/>
      <x:c r="E15" s="173"/>
      <x:c r="F15" s="173"/>
      <x:c r="G15" s="173"/>
      <x:c r="H15" s="174"/>
      <x:c r="I15" s="155"/>
      <x:c r="J15" s="155"/>
      <x:c r="K15" s="155"/>
      <x:c r="L15" s="155"/>
      <x:c r="M15" s="155"/>
      <x:c r="N15" s="155"/>
      <x:c r="O15" s="155"/>
      <x:c r="P15" s="155"/>
      <x:c r="Q15" s="155"/>
    </x:row>
    <x:row r="16">
      <x:c r="A16" s="155"/>
      <x:c r="B16" s="155"/>
      <x:c r="C16" s="155"/>
      <x:c r="D16" s="155"/>
      <x:c r="E16" s="155"/>
      <x:c r="F16" s="155"/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5"/>
      <x:c r="Q16" s="155"/>
    </x:row>
    <x:row r="17">
      <x:c r="A17" s="155"/>
      <x:c r="B17" s="155"/>
      <x:c r="C17" s="155"/>
      <x:c r="D17" s="155"/>
      <x:c r="E17" s="155"/>
      <x:c r="F17" s="155"/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5"/>
      <x:c r="Q17" s="155"/>
    </x:row>
    <x:row r="18">
      <x:c r="A18" s="155"/>
      <x:c r="B18" s="155"/>
      <x:c r="C18" s="155"/>
      <x:c r="D18" s="155"/>
      <x:c r="E18" s="155"/>
      <x:c r="F18" s="155"/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5"/>
      <x:c r="Q18" s="155"/>
    </x:row>
    <x:row r="19">
      <x:c r="A19" s="155"/>
      <x:c r="B19" s="155"/>
      <x:c r="C19" s="155"/>
      <x:c r="D19" s="155"/>
      <x:c r="E19" s="155"/>
      <x:c r="F19" s="155"/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5"/>
      <x:c r="Q19" s="155"/>
    </x:row>
    <x:row r="20">
      <x:c r="A20" s="155"/>
      <x:c r="B20" s="155"/>
      <x:c r="C20" s="155"/>
      <x:c r="D20" s="155"/>
      <x:c r="E20" s="155"/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5"/>
      <x:c r="Q20" s="155"/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5"/>
      <x:c r="Q21" s="155"/>
    </x:row>
    <x:row r="22">
      <x:c r="A22" s="155"/>
      <x:c r="B22" s="155"/>
      <x:c r="C22" s="155"/>
      <x:c r="D22" s="155"/>
      <x:c r="E22" s="155"/>
      <x:c r="F22" s="155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5"/>
      <x:c r="Q22" s="155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5"/>
      <x:c r="N23" s="155"/>
      <x:c r="O23" s="155"/>
      <x:c r="P23" s="155"/>
      <x:c r="Q23" s="155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5"/>
      <x:c r="Q24" s="155"/>
    </x:row>
    <x:row r="25">
      <x:c r="A25" s="155"/>
      <x:c r="B25" s="155"/>
      <x:c r="C25" s="155"/>
      <x:c r="D25" s="155"/>
      <x:c r="E25" s="155"/>
      <x:c r="F25" s="155"/>
      <x:c r="G25" s="155"/>
      <x:c r="H25" s="155"/>
      <x:c r="I25" s="155"/>
      <x:c r="J25" s="155"/>
      <x:c r="K25" s="155"/>
      <x:c r="L25" s="155"/>
      <x:c r="M25" s="155"/>
      <x:c r="N25" s="155"/>
      <x:c r="O25" s="155"/>
      <x:c r="P25" s="155"/>
      <x:c r="Q25" s="155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5"/>
      <x:c r="Q26" s="155"/>
    </x:row>
  </x:sheetData>
  <x:mergeCells>
    <x:mergeCell ref="A1:Q1"/>
    <x:mergeCell ref="A2:Q2"/>
    <x:mergeCell ref="A4:B4"/>
    <x:mergeCell ref="C4:D4"/>
    <x:mergeCell ref="E4:F4"/>
    <x:mergeCell ref="G4:H4"/>
    <x:mergeCell ref="A5:B5"/>
    <x:mergeCell ref="C5:D5"/>
    <x:mergeCell ref="E5:F5"/>
    <x:mergeCell ref="G5:H5"/>
    <x:mergeCell ref="A8:B8"/>
    <x:mergeCell ref="C8:D8"/>
    <x:mergeCell ref="E8:F8"/>
    <x:mergeCell ref="G8:H8"/>
    <x:mergeCell ref="A9:B9"/>
    <x:mergeCell ref="C9:D9"/>
    <x:mergeCell ref="E9:F9"/>
    <x:mergeCell ref="G9:H9"/>
    <x:mergeCell ref="A12:H12"/>
    <x:mergeCell ref="A13:H15"/>
  </x:mergeCells>
  <x:pageMargins left="0.7" right="0.7" top="0.75" bottom="0.75" header="0.3" footer="0.3"/>
  <x:drawing xmlns:r="http://schemas.openxmlformats.org/officeDocument/2006/relationships" r:id="R81d3ac79b49a4f4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36" hidden="0" customWidth="1"/>
    <x:col min="4" max="4" width="48" hidden="0" customWidth="1"/>
    <x:col min="5" max="5" width="16" hidden="0" customWidth="1"/>
    <x:col min="6" max="6" width="14" hidden="0" customWidth="1"/>
    <x:col min="7" max="7" width="12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2" hidden="0" customWidth="1"/>
    <x:col min="15" max="15" width="14" hidden="0" customWidth="1"/>
    <x:col min="16" max="16" width="10" hidden="0" customWidth="1"/>
    <x:col min="17" max="17" width="10" hidden="0" customWidth="1"/>
    <x:col min="18" max="18" width="18" hidden="0" customWidth="1"/>
    <x:col min="19" max="19" width="48" hidden="0" customWidth="1"/>
  </x:cols>
  <x:sheetData>
    <x:row r="1" ht="24" customHeight="1">
      <x:c r="A1" s="65" t="str">
        <x:v>Pending Activities Tracker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</x:row>
    <x:row r="2" ht="24" customHeight="1">
      <x:c r="A2" s="80" t="str">
        <x:v>Imported from PROJECT_TASK_PLAN.csv. Edit the tracker fields to keep the plan current.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</x:row>
    <x:row r="8" ht="34" customHeight="1">
      <x:c r="A8" s="87" t="str">
        <x:v>Task ID</x:v>
      </x:c>
      <x:c r="B8" s="88" t="str">
        <x:v>Project / Section</x:v>
      </x:c>
      <x:c r="C8" s="88" t="str">
        <x:v>Activity</x:v>
      </x:c>
      <x:c r="D8" s="88" t="str">
        <x:v>Description</x:v>
      </x:c>
      <x:c r="E8" s="88" t="str">
        <x:v>Type</x:v>
      </x:c>
      <x:c r="F8" s="88" t="str">
        <x:v>Priority</x:v>
      </x:c>
      <x:c r="G8" s="88" t="str">
        <x:v>Complexity</x:v>
      </x:c>
      <x:c r="H8" s="88" t="str">
        <x:v>Status</x:v>
      </x:c>
      <x:c r="I8" s="88" t="str">
        <x:v>Owner</x:v>
      </x:c>
      <x:c r="J8" s="88" t="str">
        <x:v>Start Date</x:v>
      </x:c>
      <x:c r="K8" s="88" t="str">
        <x:v>Due Date</x:v>
      </x:c>
      <x:c r="L8" s="88" t="str">
        <x:v>Est. Days</x:v>
      </x:c>
      <x:c r="M8" s="88" t="str">
        <x:v>Est. Hours</x:v>
      </x:c>
      <x:c r="N8" s="88" t="str">
        <x:v>Actual Hours</x:v>
      </x:c>
      <x:c r="O8" s="88" t="str">
        <x:v>Remaining Hours</x:v>
      </x:c>
      <x:c r="P8" s="88" t="str">
        <x:v>Days Left</x:v>
      </x:c>
      <x:c r="Q8" s="88" t="str">
        <x:v>Overdue?</x:v>
      </x:c>
      <x:c r="R8" s="88" t="str">
        <x:v>Dependencies</x:v>
      </x:c>
      <x:c r="S8" s="89" t="str">
        <x:v>Notes / Backend Data</x:v>
      </x:c>
    </x:row>
    <x:row r="9">
      <x:c r="A9" s="93" t="str">
        <x:v>CI-001</x:v>
      </x:c>
      <x:c r="B9" s="93" t="str">
        <x:v>Connected Enterprise | Cost Insights</x:v>
      </x:c>
      <x:c r="C9" s="93" t="str">
        <x:v>Cost Insights - Real-time Data Integration</x:v>
      </x:c>
      <x:c r="D9" s="94" t="str">
        <x:v>Connect cost data to live backend updates and refresh KPI cards and charts without manual reload.</x:v>
      </x:c>
      <x:c r="E9" s="93" t="str">
        <x:v>UI + Backend</x:v>
      </x:c>
      <x:c r="F9" s="93" t="str">
        <x:v>High</x:v>
      </x:c>
      <x:c r="G9" s="93" t="str">
        <x:v>High</x:v>
      </x:c>
      <x:c r="H9" s="93" t="str">
        <x:v>Pending</x:v>
      </x:c>
      <x:c r="I9" s="93" t="str"/>
      <x:c r="J9" s="95" t="n">
        <x:v>46272</x:v>
      </x:c>
      <x:c r="K9" s="95" t="n">
        <x:v>46276</x:v>
      </x:c>
      <x:c r="L9" s="96" t="n">
        <x:v>5</x:v>
      </x:c>
      <x:c r="M9" s="96" t="n">
        <x:f>IF(C9="","",L9*'Lists &amp; Guide'!$E$5)</x:f>
        <x:v>40</x:v>
      </x:c>
      <x:c r="N9" s="96"/>
      <x:c r="O9" s="96" t="n">
        <x:f>IF(C9="","",MAX(0,M9-N9))</x:f>
        <x:v>40</x:v>
      </x:c>
      <x:c r="P9" s="96" t="n">
        <x:f>IF(C9="","",IF(K9="","",K9-TODAY()))</x:f>
        <x:v>9</x:v>
      </x:c>
      <x:c r="Q9" s="93" t="str">
        <x:f>IF(C9="","",IF(OR(H9="Completed",K9=""),"",IF(K9&lt;TODAY(),"Yes","No")))</x:f>
        <x:v>No</x:v>
      </x:c>
      <x:c r="R9" s="93" t="str">
        <x:v>C-001</x:v>
      </x:c>
      <x:c r="S9" s="94" t="str">
        <x:v>Live cost endpoint or SSE/polling; spend, savings, and utilization updates</x:v>
      </x:c>
    </x:row>
    <x:row r="10">
      <x:c r="A10" s="97" t="str">
        <x:v>AI-001</x:v>
      </x:c>
      <x:c r="B10" s="97" t="str">
        <x:v>Connected Enterprise | Ask AI</x:v>
      </x:c>
      <x:c r="C10" s="97" t="str">
        <x:v>Ask AI Enhancement - Contextual Answers &amp; Citations</x:v>
      </x:c>
      <x:c r="D10" s="98" t="str">
        <x:v>Improve prompts, add current-page context, citations, and clearer loading and error states.</x:v>
      </x:c>
      <x:c r="E10" s="97" t="str">
        <x:v>UI + Backend</x:v>
      </x:c>
      <x:c r="F10" s="97" t="str">
        <x:v>High</x:v>
      </x:c>
      <x:c r="G10" s="97" t="str">
        <x:v>High</x:v>
      </x:c>
      <x:c r="H10" s="97" t="str">
        <x:v>Pending</x:v>
      </x:c>
      <x:c r="I10" s="97" t="str"/>
      <x:c r="J10" s="99" t="n">
        <x:v>46272</x:v>
      </x:c>
      <x:c r="K10" s="99" t="n">
        <x:v>46279</x:v>
      </x:c>
      <x:c r="L10" s="100" t="n">
        <x:v>6</x:v>
      </x:c>
      <x:c r="M10" s="100" t="n">
        <x:f>IF(C10="","",L10*'Lists &amp; Guide'!$E$5)</x:f>
        <x:v>48</x:v>
      </x:c>
      <x:c r="N10" s="100"/>
      <x:c r="O10" s="100" t="n">
        <x:f>IF(C10="","",MAX(0,M10-N10))</x:f>
        <x:v>48</x:v>
      </x:c>
      <x:c r="P10" s="100" t="n">
        <x:f>IF(C10="","",IF(K10="","",K10-TODAY()))</x:f>
        <x:v>12</x:v>
      </x:c>
      <x:c r="Q10" s="97" t="str">
        <x:f>IF(C10="","",IF(OR(H10="Completed",K10=""),"",IF(K10&lt;TODAY(),"Yes","No")))</x:f>
        <x:v>No</x:v>
      </x:c>
      <x:c r="R10" s="97" t="str">
        <x:v>None</x:v>
      </x:c>
      <x:c r="S10" s="98" t="str">
        <x:v>Context payload, response metadata, and feedback capture</x:v>
      </x:c>
    </x:row>
    <x:row r="11">
      <x:c r="A11" s="97" t="str">
        <x:v>UI-001</x:v>
      </x:c>
      <x:c r="B11" s="97" t="str">
        <x:v>Connected Enterprise | Overall UI</x:v>
      </x:c>
      <x:c r="C11" s="97" t="str">
        <x:v>Overall UI Improvements - Consistency &amp; Accessibility</x:v>
      </x:c>
      <x:c r="D11" s="98" t="str">
        <x:v>Standardize spacing, typography, empty states, buttons, responsive layouts, keyboard access, and focus behavior.</x:v>
      </x:c>
      <x:c r="E11" s="97" t="str">
        <x:v>UI</x:v>
      </x:c>
      <x:c r="F11" s="97" t="str">
        <x:v>High</x:v>
      </x:c>
      <x:c r="G11" s="97" t="str">
        <x:v>Medium</x:v>
      </x:c>
      <x:c r="H11" s="97" t="str">
        <x:v>Pending</x:v>
      </x:c>
      <x:c r="I11" s="97" t="str"/>
      <x:c r="J11" s="99" t="n">
        <x:v>46279</x:v>
      </x:c>
      <x:c r="K11" s="99" t="n">
        <x:v>46283</x:v>
      </x:c>
      <x:c r="L11" s="100" t="n">
        <x:v>5</x:v>
      </x:c>
      <x:c r="M11" s="100" t="n">
        <x:f>IF(C11="","",L11*'Lists &amp; Guide'!$E$5)</x:f>
        <x:v>40</x:v>
      </x:c>
      <x:c r="N11" s="100"/>
      <x:c r="O11" s="100" t="n">
        <x:f>IF(C11="","",MAX(0,M11-N11))</x:f>
        <x:v>40</x:v>
      </x:c>
      <x:c r="P11" s="100" t="n">
        <x:f>IF(C11="","",IF(K11="","",K11-TODAY()))</x:f>
        <x:v>16</x:v>
      </x:c>
      <x:c r="Q11" s="97" t="str">
        <x:f>IF(C11="","",IF(OR(H11="Completed",K11=""),"",IF(K11&lt;TODAY(),"Yes","No")))</x:f>
        <x:v>No</x:v>
      </x:c>
      <x:c r="R11" s="97" t="str">
        <x:v>None</x:v>
      </x:c>
      <x:c r="S11" s="98" t="str">
        <x:v>Shared components, design tokens, responsive and accessibility checks</x:v>
      </x:c>
    </x:row>
    <x:row r="12">
      <x:c r="A12" s="97" t="str">
        <x:v>GWT-001</x:v>
      </x:c>
      <x:c r="B12" s="97" t="str">
        <x:v>Connected Enterprise | Gateway Twin</x:v>
      </x:c>
      <x:c r="C12" s="97" t="str">
        <x:v>GW Twin UI - Digital Twin View</x:v>
      </x:c>
      <x:c r="D12" s="98" t="str">
        <x:v>Build a gateway digital-twin view with topology, component health, metrics, and drill-down panels.</x:v>
      </x:c>
      <x:c r="E12" s="97" t="str">
        <x:v>UI</x:v>
      </x:c>
      <x:c r="F12" s="97" t="str">
        <x:v>High</x:v>
      </x:c>
      <x:c r="G12" s="97" t="str">
        <x:v>High</x:v>
      </x:c>
      <x:c r="H12" s="97" t="str">
        <x:v>Pending</x:v>
      </x:c>
      <x:c r="I12" s="97" t="str"/>
      <x:c r="J12" s="99" t="n">
        <x:v>46279</x:v>
      </x:c>
      <x:c r="K12" s="99" t="n">
        <x:v>46287</x:v>
      </x:c>
      <x:c r="L12" s="100" t="n">
        <x:v>7</x:v>
      </x:c>
      <x:c r="M12" s="100" t="n">
        <x:f>IF(C12="","",L12*'Lists &amp; Guide'!$E$5)</x:f>
        <x:v>56</x:v>
      </x:c>
      <x:c r="N12" s="100"/>
      <x:c r="O12" s="100" t="n">
        <x:f>IF(C12="","",MAX(0,M12-N12))</x:f>
        <x:v>56</x:v>
      </x:c>
      <x:c r="P12" s="100" t="n">
        <x:f>IF(C12="","",IF(K12="","",K12-TODAY()))</x:f>
        <x:v>20</x:v>
      </x:c>
      <x:c r="Q12" s="97" t="str">
        <x:f>IF(C12="","",IF(OR(H12="Completed",K12=""),"",IF(K12&lt;TODAY(),"Yes","No")))</x:f>
        <x:v>No</x:v>
      </x:c>
      <x:c r="R12" s="97" t="str">
        <x:v>None</x:v>
      </x:c>
      <x:c r="S12" s="98" t="str">
        <x:v>Gateway component inventory, health metrics, and topology payload</x:v>
      </x:c>
    </x:row>
    <x:row r="13">
      <x:c r="A13" s="97" t="str">
        <x:v>DEV-001</x:v>
      </x:c>
      <x:c r="B13" s="97" t="str">
        <x:v>Connected Enterprise | Devices</x:v>
      </x:c>
      <x:c r="C13" s="97" t="str">
        <x:v>Real-time Device Telemetry Experience</x:v>
      </x:c>
      <x:c r="D13" s="98" t="str">
        <x:v>Surface live device health and telemetry with last-seen, connectivity, and refresh indicators.</x:v>
      </x:c>
      <x:c r="E13" s="97" t="str">
        <x:v>UI + Backend</x:v>
      </x:c>
      <x:c r="F13" s="97" t="str">
        <x:v>High</x:v>
      </x:c>
      <x:c r="G13" s="97" t="str">
        <x:v>Medium</x:v>
      </x:c>
      <x:c r="H13" s="97" t="str">
        <x:v>Pending</x:v>
      </x:c>
      <x:c r="I13" s="97" t="str"/>
      <x:c r="J13" s="99" t="n">
        <x:v>46286</x:v>
      </x:c>
      <x:c r="K13" s="99" t="n">
        <x:v>46290</x:v>
      </x:c>
      <x:c r="L13" s="100" t="n">
        <x:v>5</x:v>
      </x:c>
      <x:c r="M13" s="100" t="n">
        <x:f>IF(C13="","",L13*'Lists &amp; Guide'!$E$5)</x:f>
        <x:v>40</x:v>
      </x:c>
      <x:c r="N13" s="100"/>
      <x:c r="O13" s="100" t="n">
        <x:f>IF(C13="","",MAX(0,M13-N13))</x:f>
        <x:v>40</x:v>
      </x:c>
      <x:c r="P13" s="100" t="n">
        <x:f>IF(C13="","",IF(K13="","",K13-TODAY()))</x:f>
        <x:v>23</x:v>
      </x:c>
      <x:c r="Q13" s="97" t="str">
        <x:f>IF(C13="","",IF(OR(H13="Completed",K13=""),"",IF(K13&lt;TODAY(),"Yes","No")))</x:f>
        <x:v>No</x:v>
      </x:c>
      <x:c r="R13" s="97" t="str">
        <x:v>None</x:v>
      </x:c>
      <x:c r="S13" s="98" t="str">
        <x:v>Device telemetry stream, last-seen timestamps, and connection state</x:v>
      </x:c>
    </x:row>
    <x:row r="14">
      <x:c r="A14" s="97" t="str">
        <x:v>INC-001</x:v>
      </x:c>
      <x:c r="B14" s="97" t="str">
        <x:v>Connected Enterprise | Incidents</x:v>
      </x:c>
      <x:c r="C14" s="97" t="str">
        <x:v>Live Incident &amp; Alert Feed</x:v>
      </x:c>
      <x:c r="D14" s="98" t="str">
        <x:v>Replace mock incident updates with live events, severity filters, acknowledgement state, and timestamps.</x:v>
      </x:c>
      <x:c r="E14" s="97" t="str">
        <x:v>UI + Backend</x:v>
      </x:c>
      <x:c r="F14" s="97" t="str">
        <x:v>High</x:v>
      </x:c>
      <x:c r="G14" s="97" t="str">
        <x:v>Medium</x:v>
      </x:c>
      <x:c r="H14" s="97" t="str">
        <x:v>Pending</x:v>
      </x:c>
      <x:c r="I14" s="97" t="str"/>
      <x:c r="J14" s="99" t="n">
        <x:v>46286</x:v>
      </x:c>
      <x:c r="K14" s="99" t="n">
        <x:v>46289</x:v>
      </x:c>
      <x:c r="L14" s="100" t="n">
        <x:v>4</x:v>
      </x:c>
      <x:c r="M14" s="100" t="n">
        <x:f>IF(C14="","",L14*'Lists &amp; Guide'!$E$5)</x:f>
        <x:v>32</x:v>
      </x:c>
      <x:c r="N14" s="100"/>
      <x:c r="O14" s="100" t="n">
        <x:f>IF(C14="","",MAX(0,M14-N14))</x:f>
        <x:v>32</x:v>
      </x:c>
      <x:c r="P14" s="100" t="n">
        <x:f>IF(C14="","",IF(K14="","",K14-TODAY()))</x:f>
        <x:v>22</x:v>
      </x:c>
      <x:c r="Q14" s="97" t="str">
        <x:f>IF(C14="","",IF(OR(H14="Completed",K14=""),"",IF(K14&lt;TODAY(),"Yes","No")))</x:f>
        <x:v>No</x:v>
      </x:c>
      <x:c r="R14" s="97" t="str">
        <x:v>None</x:v>
      </x:c>
      <x:c r="S14" s="98" t="str">
        <x:v>Incident event stream, severity, acknowledgement, and audit fields</x:v>
      </x:c>
    </x:row>
    <x:row r="15">
      <x:c r="A15" s="97" t="str">
        <x:v>POL-001</x:v>
      </x:c>
      <x:c r="B15" s="97" t="str">
        <x:v>Connected Enterprise | Policy Management</x:v>
      </x:c>
      <x:c r="C15" s="97" t="str">
        <x:v>Policy Management UX Refresh</x:v>
      </x:c>
      <x:c r="D15" s="98" t="str">
        <x:v>Simplify create and edit flows, inline validation, bulk actions, and persisted enable or disable state.</x:v>
      </x:c>
      <x:c r="E15" s="97" t="str">
        <x:v>UI</x:v>
      </x:c>
      <x:c r="F15" s="97" t="str">
        <x:v>Medium</x:v>
      </x:c>
      <x:c r="G15" s="97" t="str">
        <x:v>Medium</x:v>
      </x:c>
      <x:c r="H15" s="97" t="str">
        <x:v>Pending</x:v>
      </x:c>
      <x:c r="I15" s="97" t="str"/>
      <x:c r="J15" s="99" t="n">
        <x:v>46293</x:v>
      </x:c>
      <x:c r="K15" s="99" t="n">
        <x:v>46295</x:v>
      </x:c>
      <x:c r="L15" s="100" t="n">
        <x:v>3</x:v>
      </x:c>
      <x:c r="M15" s="100" t="n">
        <x:f>IF(C15="","",L15*'Lists &amp; Guide'!$E$5)</x:f>
        <x:v>24</x:v>
      </x:c>
      <x:c r="N15" s="100"/>
      <x:c r="O15" s="100" t="n">
        <x:f>IF(C15="","",MAX(0,M15-N15))</x:f>
        <x:v>24</x:v>
      </x:c>
      <x:c r="P15" s="100" t="n">
        <x:f>IF(C15="","",IF(K15="","",K15-TODAY()))</x:f>
        <x:v>28</x:v>
      </x:c>
      <x:c r="Q15" s="97" t="str">
        <x:f>IF(C15="","",IF(OR(H15="Completed",K15=""),"",IF(K15&lt;TODAY(),"Yes","No")))</x:f>
        <x:v>No</x:v>
      </x:c>
      <x:c r="R15" s="97" t="str">
        <x:v>None</x:v>
      </x:c>
      <x:c r="S15" s="98" t="str">
        <x:v>Reusable form patterns, validation rules, and bulk-action states</x:v>
      </x:c>
    </x:row>
    <x:row r="16">
      <x:c r="A16" s="97" t="str">
        <x:v>TOP-001</x:v>
      </x:c>
      <x:c r="B16" s="97" t="str">
        <x:v>Connected Enterprise | Topology</x:v>
      </x:c>
      <x:c r="C16" s="97" t="str">
        <x:v>Network / Branch Topology Visualization</x:v>
      </x:c>
      <x:c r="D16" s="98" t="str">
        <x:v>Add interactive branch-to-gateway topology with status colors and quick navigation.</x:v>
      </x:c>
      <x:c r="E16" s="97" t="str">
        <x:v>UI + Backend</x:v>
      </x:c>
      <x:c r="F16" s="97" t="str">
        <x:v>Medium</x:v>
      </x:c>
      <x:c r="G16" s="97" t="str">
        <x:v>High</x:v>
      </x:c>
      <x:c r="H16" s="97" t="str">
        <x:v>Pending</x:v>
      </x:c>
      <x:c r="I16" s="97" t="str"/>
      <x:c r="J16" s="99" t="n">
        <x:v>46293</x:v>
      </x:c>
      <x:c r="K16" s="99" t="n">
        <x:v>46300</x:v>
      </x:c>
      <x:c r="L16" s="100" t="n">
        <x:v>6</x:v>
      </x:c>
      <x:c r="M16" s="100" t="n">
        <x:f>IF(C16="","",L16*'Lists &amp; Guide'!$E$5)</x:f>
        <x:v>48</x:v>
      </x:c>
      <x:c r="N16" s="100"/>
      <x:c r="O16" s="100" t="n">
        <x:f>IF(C16="","",MAX(0,M16-N16))</x:f>
        <x:v>48</x:v>
      </x:c>
      <x:c r="P16" s="100" t="n">
        <x:f>IF(C16="","",IF(K16="","",K16-TODAY()))</x:f>
        <x:v>33</x:v>
      </x:c>
      <x:c r="Q16" s="97" t="str">
        <x:f>IF(C16="","",IF(OR(H16="Completed",K16=""),"",IF(K16&lt;TODAY(),"Yes","No")))</x:f>
        <x:v>No</x:v>
      </x:c>
      <x:c r="R16" s="97" t="str">
        <x:v>GWT-001</x:v>
      </x:c>
      <x:c r="S16" s="98" t="str">
        <x:v>Branch, gateway, tunnel, and link-status relationships</x:v>
      </x:c>
    </x:row>
    <x:row r="17">
      <x:c r="A17" s="97" t="str">
        <x:v>RPT-001</x:v>
      </x:c>
      <x:c r="B17" s="97" t="str">
        <x:v>Connected Enterprise | Reporting</x:v>
      </x:c>
      <x:c r="C17" s="97" t="str">
        <x:v>Reporting &amp; Export Improvements</x:v>
      </x:c>
      <x:c r="D17" s="98" t="str">
        <x:v>Improve CSV and PDF-ready reporting, column selection, date filters, and export feedback.</x:v>
      </x:c>
      <x:c r="E17" s="97" t="str">
        <x:v>UI + Backend</x:v>
      </x:c>
      <x:c r="F17" s="97" t="str">
        <x:v>Medium</x:v>
      </x:c>
      <x:c r="G17" s="97" t="str">
        <x:v>Medium</x:v>
      </x:c>
      <x:c r="H17" s="97" t="str">
        <x:v>Pending</x:v>
      </x:c>
      <x:c r="I17" s="97" t="str"/>
      <x:c r="J17" s="99" t="n">
        <x:v>46301</x:v>
      </x:c>
      <x:c r="K17" s="99" t="n">
        <x:v>46303</x:v>
      </x:c>
      <x:c r="L17" s="100" t="n">
        <x:v>3</x:v>
      </x:c>
      <x:c r="M17" s="100" t="n">
        <x:f>IF(C17="","",L17*'Lists &amp; Guide'!$E$5)</x:f>
        <x:v>24</x:v>
      </x:c>
      <x:c r="N17" s="100"/>
      <x:c r="O17" s="100" t="n">
        <x:f>IF(C17="","",MAX(0,M17-N17))</x:f>
        <x:v>24</x:v>
      </x:c>
      <x:c r="P17" s="100" t="n">
        <x:f>IF(C17="","",IF(K17="","",K17-TODAY()))</x:f>
        <x:v>36</x:v>
      </x:c>
      <x:c r="Q17" s="97" t="str">
        <x:f>IF(C17="","",IF(OR(H17="Completed",K17=""),"",IF(K17&lt;TODAY(),"Yes","No")))</x:f>
        <x:v>No</x:v>
      </x:c>
      <x:c r="R17" s="97" t="str">
        <x:v>None</x:v>
      </x:c>
      <x:c r="S17" s="98" t="str">
        <x:v>Filtered report query, export job state, and download response</x:v>
      </x:c>
    </x:row>
    <x:row r="18">
      <x:c r="A18" s="97" t="str">
        <x:v>PERF-001</x:v>
      </x:c>
      <x:c r="B18" s="97" t="str">
        <x:v>Connected Enterprise | Overall UI</x:v>
      </x:c>
      <x:c r="C18" s="97" t="str">
        <x:v>Performance &amp; Loading Polish</x:v>
      </x:c>
      <x:c r="D18" s="98" t="str">
        <x:v>Add loading skeletons, debounce expensive filters, and optimize large-table rendering.</x:v>
      </x:c>
      <x:c r="E18" s="97" t="str">
        <x:v>UI</x:v>
      </x:c>
      <x:c r="F18" s="97" t="str">
        <x:v>Medium</x:v>
      </x:c>
      <x:c r="G18" s="97" t="str">
        <x:v>Medium</x:v>
      </x:c>
      <x:c r="H18" s="97" t="str">
        <x:v>Pending</x:v>
      </x:c>
      <x:c r="I18" s="97" t="str"/>
      <x:c r="J18" s="99" t="n">
        <x:v>46304</x:v>
      </x:c>
      <x:c r="K18" s="99" t="n">
        <x:v>46308</x:v>
      </x:c>
      <x:c r="L18" s="100" t="n">
        <x:v>3</x:v>
      </x:c>
      <x:c r="M18" s="100" t="n">
        <x:f>IF(C18="","",L18*'Lists &amp; Guide'!$E$5)</x:f>
        <x:v>24</x:v>
      </x:c>
      <x:c r="N18" s="100"/>
      <x:c r="O18" s="100" t="n">
        <x:f>IF(C18="","",MAX(0,M18-N18))</x:f>
        <x:v>24</x:v>
      </x:c>
      <x:c r="P18" s="100" t="n">
        <x:f>IF(C18="","",IF(K18="","",K18-TODAY()))</x:f>
        <x:v>41</x:v>
      </x:c>
      <x:c r="Q18" s="97" t="str">
        <x:f>IF(C18="","",IF(OR(H18="Completed",K18=""),"",IF(K18&lt;TODAY(),"Yes","No")))</x:f>
        <x:v>No</x:v>
      </x:c>
      <x:c r="R18" s="97" t="str">
        <x:v>UI-001</x:v>
      </x:c>
      <x:c r="S18" s="98" t="str">
        <x:v>Loading states, filter performance, and large-list rendering metrics</x:v>
      </x:c>
    </x:row>
    <x:row r="19">
      <x:c r="A19" s="97" t="str">
        <x:v>QSR-001</x:v>
      </x:c>
      <x:c r="B19" s="97" t="str">
        <x:v>Project QSR | IT/OT Devices</x:v>
      </x:c>
      <x:c r="C19" s="97" t="str">
        <x:v>Live IT/OT Device Inventory</x:v>
      </x:c>
      <x:c r="D19" s="98" t="str">
        <x:v>Connect the QSR device page to the live inventory snapshot and enforce strict branch fleet separation.</x:v>
      </x:c>
      <x:c r="E19" s="97" t="str">
        <x:v>UI + Backend</x:v>
      </x:c>
      <x:c r="F19" s="97" t="str">
        <x:v>High</x:v>
      </x:c>
      <x:c r="G19" s="97" t="str">
        <x:v>Medium</x:v>
      </x:c>
      <x:c r="H19" s="97" t="str">
        <x:v>Pending</x:v>
      </x:c>
      <x:c r="I19" s="97" t="str"/>
      <x:c r="J19" s="99" t="n">
        <x:v>46272</x:v>
      </x:c>
      <x:c r="K19" s="99" t="n">
        <x:v>46276</x:v>
      </x:c>
      <x:c r="L19" s="100" t="n">
        <x:v>5</x:v>
      </x:c>
      <x:c r="M19" s="100" t="n">
        <x:f>IF(C19="","",L19*'Lists &amp; Guide'!$E$5)</x:f>
        <x:v>40</x:v>
      </x:c>
      <x:c r="N19" s="100"/>
      <x:c r="O19" s="100" t="n">
        <x:f>IF(C19="","",MAX(0,M19-N19))</x:f>
        <x:v>40</x:v>
      </x:c>
      <x:c r="P19" s="100" t="n">
        <x:f>IF(C19="","",IF(K19="","",K19-TODAY()))</x:f>
        <x:v>9</x:v>
      </x:c>
      <x:c r="Q19" s="97" t="str">
        <x:f>IF(C19="","",IF(OR(H19="Completed",K19=""),"",IF(K19&lt;TODAY(),"Yes","No")))</x:f>
        <x:v>No</x:v>
      </x:c>
      <x:c r="R19" s="97" t="str">
        <x:v>None</x:v>
      </x:c>
      <x:c r="S19" s="98" t="str">
        <x:v>GET /api/devices/snapshot and SSE stream; McKinney/Plano source mapping</x:v>
      </x:c>
    </x:row>
    <x:row r="20">
      <x:c r="A20" s="97" t="str">
        <x:v>QSR-002</x:v>
      </x:c>
      <x:c r="B20" s="97" t="str">
        <x:v>Project QSR | Device Telemetry</x:v>
      </x:c>
      <x:c r="C20" s="97" t="str">
        <x:v>Device Telemetry History &amp; Trends</x:v>
      </x:c>
      <x:c r="D20" s="98" t="str">
        <x:v>Add per-device historical telemetry charts and clear last-seen and connection indicators.</x:v>
      </x:c>
      <x:c r="E20" s="97" t="str">
        <x:v>UI + Backend</x:v>
      </x:c>
      <x:c r="F20" s="97" t="str">
        <x:v>High</x:v>
      </x:c>
      <x:c r="G20" s="97" t="str">
        <x:v>Medium</x:v>
      </x:c>
      <x:c r="H20" s="97" t="str">
        <x:v>Pending</x:v>
      </x:c>
      <x:c r="I20" s="97" t="str"/>
      <x:c r="J20" s="99" t="n">
        <x:v>46279</x:v>
      </x:c>
      <x:c r="K20" s="99" t="n">
        <x:v>46282</x:v>
      </x:c>
      <x:c r="L20" s="100" t="n">
        <x:v>4</x:v>
      </x:c>
      <x:c r="M20" s="100" t="n">
        <x:f>IF(C20="","",L20*'Lists &amp; Guide'!$E$5)</x:f>
        <x:v>32</x:v>
      </x:c>
      <x:c r="N20" s="100"/>
      <x:c r="O20" s="100" t="n">
        <x:f>IF(C20="","",MAX(0,M20-N20))</x:f>
        <x:v>32</x:v>
      </x:c>
      <x:c r="P20" s="100" t="n">
        <x:f>IF(C20="","",IF(K20="","",K20-TODAY()))</x:f>
        <x:v>15</x:v>
      </x:c>
      <x:c r="Q20" s="97" t="str">
        <x:f>IF(C20="","",IF(OR(H20="Completed",K20=""),"",IF(K20&lt;TODAY(),"Yes","No")))</x:f>
        <x:v>No</x:v>
      </x:c>
      <x:c r="R20" s="97" t="str">
        <x:v>QSR-001</x:v>
      </x:c>
      <x:c r="S20" s="98" t="str">
        <x:v>GET /api/devices/telemetry/history; RSSI and byte-counter series</x:v>
      </x:c>
    </x:row>
    <x:row r="21">
      <x:c r="A21" s="97" t="str">
        <x:v>QSR-003</x:v>
      </x:c>
      <x:c r="B21" s="97" t="str">
        <x:v>Project QSR | Device Controls</x:v>
      </x:c>
      <x:c r="C21" s="97" t="str">
        <x:v>Matter / Shelly Device Controls</x:v>
      </x:c>
      <x:c r="D21" s="98" t="str">
        <x:v>Complete safe control flows for Matter and Shelly devices with optimistic state and failure recovery.</x:v>
      </x:c>
      <x:c r="E21" s="97" t="str">
        <x:v>UI + Backend</x:v>
      </x:c>
      <x:c r="F21" s="97" t="str">
        <x:v>Medium</x:v>
      </x:c>
      <x:c r="G21" s="97" t="str">
        <x:v>Medium</x:v>
      </x:c>
      <x:c r="H21" s="97" t="str">
        <x:v>Pending</x:v>
      </x:c>
      <x:c r="I21" s="97" t="str"/>
      <x:c r="J21" s="99" t="n">
        <x:v>46279</x:v>
      </x:c>
      <x:c r="K21" s="99" t="n">
        <x:v>46281</x:v>
      </x:c>
      <x:c r="L21" s="100" t="n">
        <x:v>3</x:v>
      </x:c>
      <x:c r="M21" s="100" t="n">
        <x:f>IF(C21="","",L21*'Lists &amp; Guide'!$E$5)</x:f>
        <x:v>24</x:v>
      </x:c>
      <x:c r="N21" s="100"/>
      <x:c r="O21" s="100" t="n">
        <x:f>IF(C21="","",MAX(0,M21-N21))</x:f>
        <x:v>24</x:v>
      </x:c>
      <x:c r="P21" s="100" t="n">
        <x:f>IF(C21="","",IF(K21="","",K21-TODAY()))</x:f>
        <x:v>14</x:v>
      </x:c>
      <x:c r="Q21" s="97" t="str">
        <x:f>IF(C21="","",IF(OR(H21="Completed",K21=""),"",IF(K21&lt;TODAY(),"Yes","No")))</x:f>
        <x:v>No</x:v>
      </x:c>
      <x:c r="R21" s="97" t="str">
        <x:v>QSR-001</x:v>
      </x:c>
      <x:c r="S21" s="98" t="str">
        <x:v>POST control endpoints, action acknowledgement, and revert-on-failure behavior</x:v>
      </x:c>
    </x:row>
    <x:row r="22">
      <x:c r="A22" s="97" t="str">
        <x:v>QSR-004</x:v>
      </x:c>
      <x:c r="B22" s="97" t="str">
        <x:v>Project QSR | Dynamic Failover</x:v>
      </x:c>
      <x:c r="C22" s="97" t="str">
        <x:v>Dynamic Failover Controls</x:v>
      </x:c>
      <x:c r="D22" s="98" t="str">
        <x:v>Wire Fiber, 5G, Auto, and per-tunnel path controls to gateway acknowledgement states.</x:v>
      </x:c>
      <x:c r="E22" s="97" t="str">
        <x:v>UI + Backend</x:v>
      </x:c>
      <x:c r="F22" s="97" t="str">
        <x:v>High</x:v>
      </x:c>
      <x:c r="G22" s="97" t="str">
        <x:v>High</x:v>
      </x:c>
      <x:c r="H22" s="97" t="str">
        <x:v>Pending</x:v>
      </x:c>
      <x:c r="I22" s="97" t="str"/>
      <x:c r="J22" s="99" t="n">
        <x:v>46283</x:v>
      </x:c>
      <x:c r="K22" s="99" t="n">
        <x:v>46289</x:v>
      </x:c>
      <x:c r="L22" s="100" t="n">
        <x:v>5</x:v>
      </x:c>
      <x:c r="M22" s="100" t="n">
        <x:f>IF(C22="","",L22*'Lists &amp; Guide'!$E$5)</x:f>
        <x:v>40</x:v>
      </x:c>
      <x:c r="N22" s="100"/>
      <x:c r="O22" s="100" t="n">
        <x:f>IF(C22="","",MAX(0,M22-N22))</x:f>
        <x:v>40</x:v>
      </x:c>
      <x:c r="P22" s="100" t="n">
        <x:f>IF(C22="","",IF(K22="","",K22-TODAY()))</x:f>
        <x:v>22</x:v>
      </x:c>
      <x:c r="Q22" s="97" t="str">
        <x:f>IF(C22="","",IF(OR(H22="Completed",K22=""),"",IF(K22&lt;TODAY(),"Yes","No")))</x:f>
        <x:v>No</x:v>
      </x:c>
      <x:c r="R22" s="97" t="str">
        <x:v>None</x:v>
      </x:c>
      <x:c r="S22" s="98" t="str">
        <x:v>POST /api/gateway/path; 200 ack, 202 pending, and 502 rejection states</x:v>
      </x:c>
    </x:row>
    <x:row r="23">
      <x:c r="A23" s="97" t="str">
        <x:v>QSR-005</x:v>
      </x:c>
      <x:c r="B23" s="97" t="str">
        <x:v>Project QSR | Application Routing</x:v>
      </x:c>
      <x:c r="C23" s="97" t="str">
        <x:v>Application-Aware Routing Policy CRUD</x:v>
      </x:c>
      <x:c r="D23" s="98" t="str">
        <x:v>Replace policy mocks with create, edit, delete, toggle, and validation flows against the routing API.</x:v>
      </x:c>
      <x:c r="E23" s="97" t="str">
        <x:v>UI + Backend</x:v>
      </x:c>
      <x:c r="F23" s="97" t="str">
        <x:v>High</x:v>
      </x:c>
      <x:c r="G23" s="97" t="str">
        <x:v>Medium</x:v>
      </x:c>
      <x:c r="H23" s="97" t="str">
        <x:v>Pending</x:v>
      </x:c>
      <x:c r="I23" s="97" t="str"/>
      <x:c r="J23" s="99" t="n">
        <x:v>46286</x:v>
      </x:c>
      <x:c r="K23" s="99" t="n">
        <x:v>46290</x:v>
      </x:c>
      <x:c r="L23" s="100" t="n">
        <x:v>5</x:v>
      </x:c>
      <x:c r="M23" s="100" t="n">
        <x:f>IF(C23="","",L23*'Lists &amp; Guide'!$E$5)</x:f>
        <x:v>40</x:v>
      </x:c>
      <x:c r="N23" s="100"/>
      <x:c r="O23" s="100" t="n">
        <x:f>IF(C23="","",MAX(0,M23-N23))</x:f>
        <x:v>40</x:v>
      </x:c>
      <x:c r="P23" s="100" t="n">
        <x:f>IF(C23="","",IF(K23="","",K23-TODAY()))</x:f>
        <x:v>23</x:v>
      </x:c>
      <x:c r="Q23" s="97" t="str">
        <x:f>IF(C23="","",IF(OR(H23="Completed",K23=""),"",IF(K23&lt;TODAY(),"Yes","No")))</x:f>
        <x:v>No</x:v>
      </x:c>
      <x:c r="R23" s="97" t="str">
        <x:v>None</x:v>
      </x:c>
      <x:c r="S23" s="98" t="str">
        <x:v>Policy list, CRUD payloads, enable/disable persistence, and validation</x:v>
      </x:c>
    </x:row>
    <x:row r="24">
      <x:c r="A24" s="97" t="str">
        <x:v>QSR-006</x:v>
      </x:c>
      <x:c r="B24" s="97" t="str">
        <x:v>Project QSR | AI Operations</x:v>
      </x:c>
      <x:c r="C24" s="97" t="str">
        <x:v>AI Network Insight / Operator Readout</x:v>
      </x:c>
      <x:c r="D24" s="98" t="str">
        <x:v>Add an operator-friendly AI readout for live device and tunnel conditions with graceful no-data handling.</x:v>
      </x:c>
      <x:c r="E24" s="97" t="str">
        <x:v>UI + Backend</x:v>
      </x:c>
      <x:c r="F24" s="97" t="str">
        <x:v>Medium</x:v>
      </x:c>
      <x:c r="G24" s="97" t="str">
        <x:v>High</x:v>
      </x:c>
      <x:c r="H24" s="97" t="str">
        <x:v>Pending</x:v>
      </x:c>
      <x:c r="I24" s="97" t="str"/>
      <x:c r="J24" s="99" t="n">
        <x:v>46293</x:v>
      </x:c>
      <x:c r="K24" s="99" t="n">
        <x:v>46296</x:v>
      </x:c>
      <x:c r="L24" s="100" t="n">
        <x:v>4</x:v>
      </x:c>
      <x:c r="M24" s="100" t="n">
        <x:f>IF(C24="","",L24*'Lists &amp; Guide'!$E$5)</x:f>
        <x:v>32</x:v>
      </x:c>
      <x:c r="N24" s="100"/>
      <x:c r="O24" s="100" t="n">
        <x:f>IF(C24="","",MAX(0,M24-N24))</x:f>
        <x:v>32</x:v>
      </x:c>
      <x:c r="P24" s="100" t="n">
        <x:f>IF(C24="","",IF(K24="","",K24-TODAY()))</x:f>
        <x:v>29</x:v>
      </x:c>
      <x:c r="Q24" s="97" t="str">
        <x:f>IF(C24="","",IF(OR(H24="Completed",K24=""),"",IF(K24&lt;TODAY(),"Yes","No")))</x:f>
        <x:v>No</x:v>
      </x:c>
      <x:c r="R24" s="97" t="str">
        <x:v>QSR-001; QSR-004</x:v>
      </x:c>
      <x:c r="S24" s="98" t="str">
        <x:v>Insight SSE stream, 503/409 messaging, and current snapshot context</x:v>
      </x:c>
    </x:row>
    <x:row r="25">
      <x:c r="A25" s="97" t="str">
        <x:v>QSR-007</x:v>
      </x:c>
      <x:c r="B25" s="97" t="str">
        <x:v>Project QSR | Fleet Separation</x:v>
      </x:c>
      <x:c r="C25" s="97" t="str">
        <x:v>McKinney / Plano Fleet Separation</x:v>
      </x:c>
      <x:c r="D25" s="98" t="str">
        <x:v>Make the two QSR site views explicit and prevent mixed gateway or device data across branch pages.</x:v>
      </x:c>
      <x:c r="E25" s="97" t="str">
        <x:v>UI + Backend</x:v>
      </x:c>
      <x:c r="F25" s="97" t="str">
        <x:v>High</x:v>
      </x:c>
      <x:c r="G25" s="97" t="str">
        <x:v>Medium</x:v>
      </x:c>
      <x:c r="H25" s="97" t="str">
        <x:v>Pending</x:v>
      </x:c>
      <x:c r="I25" s="97" t="str"/>
      <x:c r="J25" s="99" t="n">
        <x:v>46293</x:v>
      </x:c>
      <x:c r="K25" s="99" t="n">
        <x:v>46295</x:v>
      </x:c>
      <x:c r="L25" s="100" t="n">
        <x:v>3</x:v>
      </x:c>
      <x:c r="M25" s="100" t="n">
        <x:f>IF(C25="","",L25*'Lists &amp; Guide'!$E$5)</x:f>
        <x:v>24</x:v>
      </x:c>
      <x:c r="N25" s="100"/>
      <x:c r="O25" s="100" t="n">
        <x:f>IF(C25="","",MAX(0,M25-N25))</x:f>
        <x:v>24</x:v>
      </x:c>
      <x:c r="P25" s="100" t="n">
        <x:f>IF(C25="","",IF(K25="","",K25-TODAY()))</x:f>
        <x:v>28</x:v>
      </x:c>
      <x:c r="Q25" s="97" t="str">
        <x:f>IF(C25="","",IF(OR(H25="Completed",K25=""),"",IF(K25&lt;TODAY(),"Yes","No")))</x:f>
        <x:v>No</x:v>
      </x:c>
      <x:c r="R25" s="97" t="str">
        <x:v>QSR-001</x:v>
      </x:c>
      <x:c r="S25" s="98" t="str">
        <x:v>b-mck-03 and b-pln-01 source contracts; strict equality filters</x:v>
      </x:c>
    </x:row>
    <x:row r="26">
      <x:c r="A26" s="97" t="str">
        <x:v>QSR-008</x:v>
      </x:c>
      <x:c r="B26" s="97" t="str">
        <x:v>Project QSR | Gateway Reliability</x:v>
      </x:c>
      <x:c r="C26" s="97" t="str">
        <x:v>Gateway Feed Health &amp; Reconnect UX</x:v>
      </x:c>
      <x:c r="D26" s="98" t="str">
        <x:v>Show feed freshness, reconnect attempts, waiting states, and operator guidance when a gateway is offline.</x:v>
      </x:c>
      <x:c r="E26" s="97" t="str">
        <x:v>UI</x:v>
      </x:c>
      <x:c r="F26" s="97" t="str">
        <x:v>Medium</x:v>
      </x:c>
      <x:c r="G26" s="97" t="str">
        <x:v>Medium</x:v>
      </x:c>
      <x:c r="H26" s="97" t="str">
        <x:v>Pending</x:v>
      </x:c>
      <x:c r="I26" s="97" t="str"/>
      <x:c r="J26" s="99" t="n">
        <x:v>46297</x:v>
      </x:c>
      <x:c r="K26" s="99" t="n">
        <x:v>46301</x:v>
      </x:c>
      <x:c r="L26" s="100" t="n">
        <x:v>3</x:v>
      </x:c>
      <x:c r="M26" s="100" t="n">
        <x:f>IF(C26="","",L26*'Lists &amp; Guide'!$E$5)</x:f>
        <x:v>24</x:v>
      </x:c>
      <x:c r="N26" s="100"/>
      <x:c r="O26" s="100" t="n">
        <x:f>IF(C26="","",MAX(0,M26-N26))</x:f>
        <x:v>24</x:v>
      </x:c>
      <x:c r="P26" s="100" t="n">
        <x:f>IF(C26="","",IF(K26="","",K26-TODAY()))</x:f>
        <x:v>34</x:v>
      </x:c>
      <x:c r="Q26" s="97" t="str">
        <x:f>IF(C26="","",IF(OR(H26="Completed",K26=""),"",IF(K26&lt;TODAY(),"Yes","No")))</x:f>
        <x:v>No</x:v>
      </x:c>
      <x:c r="R26" s="97" t="str">
        <x:v>QSR-001</x:v>
      </x:c>
      <x:c r="S26" s="98" t="str">
        <x:v>SSE heartbeat state, last snapshot timestamp, and reconnect status</x:v>
      </x:c>
    </x:row>
    <x:row r="27">
      <x:c r="A27" s="97" t="str">
        <x:v>QSR-009</x:v>
      </x:c>
      <x:c r="B27" s="97" t="str">
        <x:v>Project QSR | Deployment</x:v>
      </x:c>
      <x:c r="C27" s="97" t="str">
        <x:v>QSR Deployment &amp; Auth Hardening</x:v>
      </x:c>
      <x:c r="D27" s="98" t="str">
        <x:v>Harden reverse-proxy, operator authentication, buffering, and service deployment configuration.</x:v>
      </x:c>
      <x:c r="E27" s="97" t="str">
        <x:v>Backend</x:v>
      </x:c>
      <x:c r="F27" s="97" t="str">
        <x:v>High</x:v>
      </x:c>
      <x:c r="G27" s="97" t="str">
        <x:v>High</x:v>
      </x:c>
      <x:c r="H27" s="97" t="str">
        <x:v>Pending</x:v>
      </x:c>
      <x:c r="I27" s="97" t="str"/>
      <x:c r="J27" s="99" t="n">
        <x:v>46300</x:v>
      </x:c>
      <x:c r="K27" s="99" t="n">
        <x:v>46303</x:v>
      </x:c>
      <x:c r="L27" s="100" t="n">
        <x:v>4</x:v>
      </x:c>
      <x:c r="M27" s="100" t="n">
        <x:f>IF(C27="","",L27*'Lists &amp; Guide'!$E$5)</x:f>
        <x:v>32</x:v>
      </x:c>
      <x:c r="N27" s="100"/>
      <x:c r="O27" s="100" t="n">
        <x:f>IF(C27="","",MAX(0,M27-N27))</x:f>
        <x:v>32</x:v>
      </x:c>
      <x:c r="P27" s="100" t="n">
        <x:f>IF(C27="","",IF(K27="","",K27-TODAY()))</x:f>
        <x:v>36</x:v>
      </x:c>
      <x:c r="Q27" s="97" t="str">
        <x:f>IF(C27="","",IF(OR(H27="Completed",K27=""),"",IF(K27&lt;TODAY(),"Yes","No")))</x:f>
        <x:v>No</x:v>
      </x:c>
      <x:c r="R27" s="97" t="str">
        <x:v>QSR-004</x:v>
      </x:c>
      <x:c r="S27" s="98" t="str">
        <x:v>Nginx proxy rules, operator header, service unit, and secret handling</x:v>
      </x:c>
    </x:row>
    <x:row r="28">
      <x:c r="A28" s="97" t="str">
        <x:v>QSR-010</x:v>
      </x:c>
      <x:c r="B28" s="97" t="str">
        <x:v>Project QSR | Verification</x:v>
      </x:c>
      <x:c r="C28" s="97" t="str">
        <x:v>Simulator &amp; Integration Test Coverage</x:v>
      </x:c>
      <x:c r="D28" s="98" t="str">
        <x:v>Add repeatable inventory, control, failover, and no-gateway tests for the combined QSR packs.</x:v>
      </x:c>
      <x:c r="E28" s="97" t="str">
        <x:v>UI + Backend</x:v>
      </x:c>
      <x:c r="F28" s="97" t="str">
        <x:v>Medium</x:v>
      </x:c>
      <x:c r="G28" s="97" t="str">
        <x:v>Medium</x:v>
      </x:c>
      <x:c r="H28" s="97" t="str">
        <x:v>Pending</x:v>
      </x:c>
      <x:c r="I28" s="97" t="str"/>
      <x:c r="J28" s="99" t="n">
        <x:v>46304</x:v>
      </x:c>
      <x:c r="K28" s="99" t="n">
        <x:v>46309</x:v>
      </x:c>
      <x:c r="L28" s="100" t="n">
        <x:v>4</x:v>
      </x:c>
      <x:c r="M28" s="100" t="n">
        <x:f>IF(C28="","",L28*'Lists &amp; Guide'!$E$5)</x:f>
        <x:v>32</x:v>
      </x:c>
      <x:c r="N28" s="100"/>
      <x:c r="O28" s="100" t="n">
        <x:f>IF(C28="","",MAX(0,M28-N28))</x:f>
        <x:v>32</x:v>
      </x:c>
      <x:c r="P28" s="100" t="n">
        <x:f>IF(C28="","",IF(K28="","",K28-TODAY()))</x:f>
        <x:v>42</x:v>
      </x:c>
      <x:c r="Q28" s="97" t="str">
        <x:f>IF(C28="","",IF(OR(H28="Completed",K28=""),"",IF(K28&lt;TODAY(),"Yes","No")))</x:f>
        <x:v>No</x:v>
      </x:c>
      <x:c r="R28" s="97" t="str">
        <x:v>QSR-001; QSR-004</x:v>
      </x:c>
      <x:c r="S28" s="98" t="str">
        <x:v>Device simulators, route tests, SSE assertions, and integration checklist</x:v>
      </x:c>
    </x:row>
    <x:row r="29">
      <x:c r="A29" t="str">
        <x:v>SF-001</x:v>
      </x:c>
      <x:c r="B29" t="str">
        <x:v>Smart Factory | Site Onboarding</x:v>
      </x:c>
      <x:c r="C29" t="str">
        <x:v>Factory Site Onboarding Flow</x:v>
      </x:c>
      <x:c r="D29" t="str">
        <x:v>Create a guided flow to register a plant, assign an authorized site, and confirm the first gateway operation.</x:v>
      </x:c>
      <x:c r="E29" t="str">
        <x:v>UI + Backend</x:v>
      </x:c>
      <x:c r="F29" t="str">
        <x:v>High</x:v>
      </x:c>
      <x:c r="G29" t="str">
        <x:v>Medium</x:v>
      </x:c>
      <x:c r="H29" t="str">
        <x:v>Pending</x:v>
      </x:c>
      <x:c r="I29" t="str"/>
      <x:c r="J29" s="90" t="n">
        <x:v>46310</x:v>
      </x:c>
      <x:c r="K29" s="90" t="n">
        <x:v>46316</x:v>
      </x:c>
      <x:c r="L29" s="13" t="n">
        <x:v>5</x:v>
      </x:c>
      <x:c r="M29" s="13" t="n">
        <x:f>IF(C29="","",L29*'Lists &amp; Guide'!$E$5)</x:f>
        <x:v>40</x:v>
      </x:c>
      <x:c r="N29" s="13"/>
      <x:c r="O29" s="13" t="n">
        <x:f>IF(C29="","",MAX(0,M29-N29))</x:f>
        <x:v>40</x:v>
      </x:c>
      <x:c r="P29" s="13" t="n">
        <x:f>IF(C29="","",IF(K29="","",K29-TODAY()))</x:f>
        <x:v>49</x:v>
      </x:c>
      <x:c r="Q29" t="str">
        <x:f>IF(C29="","",IF(OR(H29="Completed",K29=""),"",IF(K29&lt;TODAY(),"Yes","No")))</x:f>
        <x:v>No</x:v>
      </x:c>
      <x:c r="R29" t="str">
        <x:v>None</x:v>
      </x:c>
      <x:c r="S29" t="str">
        <x:v>Site record, tenant assignment, gateway claim, and operation progress</x:v>
      </x:c>
    </x:row>
    <x:row r="30">
      <x:c r="A30" t="str">
        <x:v>SF-002</x:v>
      </x:c>
      <x:c r="B30" t="str">
        <x:v>Smart Factory | Gateway Provisioning</x:v>
      </x:c>
      <x:c r="C30" t="str">
        <x:v>Manufacturing Gateway Provisioning &amp; Certificate Binding</x:v>
      </x:c>
      <x:c r="D30" t="str">
        <x:v>Complete secure factory serial verification, certificate binding, and operational identity handoff.</x:v>
      </x:c>
      <x:c r="E30" t="str">
        <x:v>Backend</x:v>
      </x:c>
      <x:c r="F30" t="str">
        <x:v>High</x:v>
      </x:c>
      <x:c r="G30" t="str">
        <x:v>High</x:v>
      </x:c>
      <x:c r="H30" t="str">
        <x:v>Pending</x:v>
      </x:c>
      <x:c r="I30" t="str"/>
      <x:c r="J30" s="90" t="n">
        <x:v>46310</x:v>
      </x:c>
      <x:c r="K30" s="90" t="n">
        <x:v>46317</x:v>
      </x:c>
      <x:c r="L30" s="13" t="n">
        <x:v>6</x:v>
      </x:c>
      <x:c r="M30" s="13" t="n">
        <x:f>IF(C30="","",L30*'Lists &amp; Guide'!$E$5)</x:f>
        <x:v>48</x:v>
      </x:c>
      <x:c r="N30" s="13"/>
      <x:c r="O30" s="13" t="n">
        <x:f>IF(C30="","",MAX(0,M30-N30))</x:f>
        <x:v>48</x:v>
      </x:c>
      <x:c r="P30" s="13" t="n">
        <x:f>IF(C30="","",IF(K30="","",K30-TODAY()))</x:f>
        <x:v>50</x:v>
      </x:c>
      <x:c r="Q30" t="str">
        <x:f>IF(C30="","",IF(OR(H30="Completed",K30=""),"",IF(K30&lt;TODAY(),"Yes","No")))</x:f>
        <x:v>No</x:v>
      </x:c>
      <x:c r="R30" t="str">
        <x:v>SF-001</x:v>
      </x:c>
      <x:c r="S30" t="str">
        <x:v>Unique bootstrap identity, manufacturing record, certificate status, and CAS checks</x:v>
      </x:c>
    </x:row>
    <x:row r="31">
      <x:c r="A31" t="str">
        <x:v>SF-003</x:v>
      </x:c>
      <x:c r="B31" t="str">
        <x:v>Smart Factory | OT Discovery</x:v>
      </x:c>
      <x:c r="C31" t="str">
        <x:v>OT Device Discovery &amp; Classification</x:v>
      </x:c>
      <x:c r="D31" t="str">
        <x:v>Discover factory-floor devices and classify equipment by OT role, line, and criticality.</x:v>
      </x:c>
      <x:c r="E31" t="str">
        <x:v>UI + Backend</x:v>
      </x:c>
      <x:c r="F31" t="str">
        <x:v>High</x:v>
      </x:c>
      <x:c r="G31" t="str">
        <x:v>Medium</x:v>
      </x:c>
      <x:c r="H31" t="str">
        <x:v>Pending</x:v>
      </x:c>
      <x:c r="I31" t="str"/>
      <x:c r="J31" s="90" t="n">
        <x:v>46317</x:v>
      </x:c>
      <x:c r="K31" s="90" t="n">
        <x:v>46323</x:v>
      </x:c>
      <x:c r="L31" s="13" t="n">
        <x:v>5</x:v>
      </x:c>
      <x:c r="M31" s="13" t="n">
        <x:f>IF(C31="","",L31*'Lists &amp; Guide'!$E$5)</x:f>
        <x:v>40</x:v>
      </x:c>
      <x:c r="N31" s="13"/>
      <x:c r="O31" s="13" t="n">
        <x:f>IF(C31="","",MAX(0,M31-N31))</x:f>
        <x:v>40</x:v>
      </x:c>
      <x:c r="P31" s="13" t="n">
        <x:f>IF(C31="","",IF(K31="","",K31-TODAY()))</x:f>
        <x:v>56</x:v>
      </x:c>
      <x:c r="Q31" t="str">
        <x:f>IF(C31="","",IF(OR(H31="Completed",K31=""),"",IF(K31&lt;TODAY(),"Yes","No")))</x:f>
        <x:v>No</x:v>
      </x:c>
      <x:c r="R31" t="str">
        <x:v>SF-002</x:v>
      </x:c>
      <x:c r="S31" t="str">
        <x:v>Device inventory, OT tags, asset metadata, and classification overrides</x:v>
      </x:c>
    </x:row>
    <x:row r="32">
      <x:c r="A32" t="str">
        <x:v>SF-004</x:v>
      </x:c>
      <x:c r="B32" t="str">
        <x:v>Smart Factory | Digital Twin</x:v>
      </x:c>
      <x:c r="C32" t="str">
        <x:v>Production Line Digital Twin UI</x:v>
      </x:c>
      <x:c r="D32" t="str">
        <x:v>Build a visual twin of plant lines, gateways, machines, and current operating health.</x:v>
      </x:c>
      <x:c r="E32" t="str">
        <x:v>UI</x:v>
      </x:c>
      <x:c r="F32" t="str">
        <x:v>High</x:v>
      </x:c>
      <x:c r="G32" t="str">
        <x:v>High</x:v>
      </x:c>
      <x:c r="H32" t="str">
        <x:v>Pending</x:v>
      </x:c>
      <x:c r="I32" t="str"/>
      <x:c r="J32" s="90" t="n">
        <x:v>46317</x:v>
      </x:c>
      <x:c r="K32" s="90" t="n">
        <x:v>46325</x:v>
      </x:c>
      <x:c r="L32" s="13" t="n">
        <x:v>7</x:v>
      </x:c>
      <x:c r="M32" s="13" t="n">
        <x:f>IF(C32="","",L32*'Lists &amp; Guide'!$E$5)</x:f>
        <x:v>56</x:v>
      </x:c>
      <x:c r="N32" s="13"/>
      <x:c r="O32" s="13" t="n">
        <x:f>IF(C32="","",MAX(0,M32-N32))</x:f>
        <x:v>56</x:v>
      </x:c>
      <x:c r="P32" s="13" t="n">
        <x:f>IF(C32="","",IF(K32="","",K32-TODAY()))</x:f>
        <x:v>58</x:v>
      </x:c>
      <x:c r="Q32" t="str">
        <x:f>IF(C32="","",IF(OR(H32="Completed",K32=""),"",IF(K32&lt;TODAY(),"Yes","No")))</x:f>
        <x:v>No</x:v>
      </x:c>
      <x:c r="R32" t="str">
        <x:v>SF-003</x:v>
      </x:c>
      <x:c r="S32" t="str">
        <x:v>Line hierarchy, machine relationships, health state, and drill-down panels</x:v>
      </x:c>
    </x:row>
    <x:row r="33">
      <x:c r="A33" t="str">
        <x:v>SF-005</x:v>
      </x:c>
      <x:c r="B33" t="str">
        <x:v>Smart Factory | Live Telemetry</x:v>
      </x:c>
      <x:c r="C33" t="str">
        <x:v>Real-time Machine Telemetry Dashboard</x:v>
      </x:c>
      <x:c r="D33" t="str">
        <x:v>Surface live temperature, vibration, throughput, run state, and last-seen metrics for production assets.</x:v>
      </x:c>
      <x:c r="E33" t="str">
        <x:v>UI + Backend</x:v>
      </x:c>
      <x:c r="F33" t="str">
        <x:v>High</x:v>
      </x:c>
      <x:c r="G33" t="str">
        <x:v>High</x:v>
      </x:c>
      <x:c r="H33" t="str">
        <x:v>Pending</x:v>
      </x:c>
      <x:c r="I33" t="str"/>
      <x:c r="J33" s="90" t="n">
        <x:v>46328</x:v>
      </x:c>
      <x:c r="K33" s="90" t="n">
        <x:v>46335</x:v>
      </x:c>
      <x:c r="L33" s="13" t="n">
        <x:v>6</x:v>
      </x:c>
      <x:c r="M33" s="13" t="n">
        <x:f>IF(C33="","",L33*'Lists &amp; Guide'!$E$5)</x:f>
        <x:v>48</x:v>
      </x:c>
      <x:c r="N33" s="13"/>
      <x:c r="O33" s="13" t="n">
        <x:f>IF(C33="","",MAX(0,M33-N33))</x:f>
        <x:v>48</x:v>
      </x:c>
      <x:c r="P33" s="13" t="n">
        <x:f>IF(C33="","",IF(K33="","",K33-TODAY()))</x:f>
        <x:v>68</x:v>
      </x:c>
      <x:c r="Q33" t="str">
        <x:f>IF(C33="","",IF(OR(H33="Completed",K33=""),"",IF(K33&lt;TODAY(),"Yes","No")))</x:f>
        <x:v>No</x:v>
      </x:c>
      <x:c r="R33" t="str">
        <x:v>SF-003</x:v>
      </x:c>
      <x:c r="S33" t="str">
        <x:v>Telemetry stream, metric units, thresholds, time series, and freshness state</x:v>
      </x:c>
    </x:row>
    <x:row r="34">
      <x:c r="A34" t="str">
        <x:v>SF-006</x:v>
      </x:c>
      <x:c r="B34" t="str">
        <x:v>Smart Factory | Predictive Maintenance</x:v>
      </x:c>
      <x:c r="C34" t="str">
        <x:v>Predictive Maintenance Signals</x:v>
      </x:c>
      <x:c r="D34" t="str">
        <x:v>Add maintenance risk indicators, anomaly summaries, and recommended next actions for assets.</x:v>
      </x:c>
      <x:c r="E34" t="str">
        <x:v>UI + Backend</x:v>
      </x:c>
      <x:c r="F34" t="str">
        <x:v>Medium</x:v>
      </x:c>
      <x:c r="G34" t="str">
        <x:v>High</x:v>
      </x:c>
      <x:c r="H34" t="str">
        <x:v>Pending</x:v>
      </x:c>
      <x:c r="I34" t="str"/>
      <x:c r="J34" s="90" t="n">
        <x:v>46328</x:v>
      </x:c>
      <x:c r="K34" s="90" t="n">
        <x:v>46335</x:v>
      </x:c>
      <x:c r="L34" s="13" t="n">
        <x:v>6</x:v>
      </x:c>
      <x:c r="M34" s="13" t="n">
        <x:f>IF(C34="","",L34*'Lists &amp; Guide'!$E$5)</x:f>
        <x:v>48</x:v>
      </x:c>
      <x:c r="N34" s="13"/>
      <x:c r="O34" s="13" t="n">
        <x:f>IF(C34="","",MAX(0,M34-N34))</x:f>
        <x:v>48</x:v>
      </x:c>
      <x:c r="P34" s="13" t="n">
        <x:f>IF(C34="","",IF(K34="","",K34-TODAY()))</x:f>
        <x:v>68</x:v>
      </x:c>
      <x:c r="Q34" t="str">
        <x:f>IF(C34="","",IF(OR(H34="Completed",K34=""),"",IF(K34&lt;TODAY(),"Yes","No")))</x:f>
        <x:v>No</x:v>
      </x:c>
      <x:c r="R34" t="str">
        <x:v>SF-005</x:v>
      </x:c>
      <x:c r="S34" t="str">
        <x:v>Anomaly scores, maintenance windows, asset history, and action recommendations</x:v>
      </x:c>
    </x:row>
    <x:row r="35">
      <x:c r="A35" t="str">
        <x:v>SF-007</x:v>
      </x:c>
      <x:c r="B35" t="str">
        <x:v>Smart Factory | Energy</x:v>
      </x:c>
      <x:c r="C35" t="str">
        <x:v>Energy &amp; Utility Monitoring</x:v>
      </x:c>
      <x:c r="D35" t="str">
        <x:v>Track plant energy use, peak demand, utility status, and opportunities for idle-load reduction.</x:v>
      </x:c>
      <x:c r="E35" t="str">
        <x:v>UI + Backend</x:v>
      </x:c>
      <x:c r="F35" t="str">
        <x:v>Medium</x:v>
      </x:c>
      <x:c r="G35" t="str">
        <x:v>Medium</x:v>
      </x:c>
      <x:c r="H35" t="str">
        <x:v>Pending</x:v>
      </x:c>
      <x:c r="I35" t="str"/>
      <x:c r="J35" s="90" t="n">
        <x:v>46336</x:v>
      </x:c>
      <x:c r="K35" s="90" t="n">
        <x:v>46339</x:v>
      </x:c>
      <x:c r="L35" s="13" t="n">
        <x:v>4</x:v>
      </x:c>
      <x:c r="M35" s="13" t="n">
        <x:f>IF(C35="","",L35*'Lists &amp; Guide'!$E$5)</x:f>
        <x:v>32</x:v>
      </x:c>
      <x:c r="N35" s="13"/>
      <x:c r="O35" s="13" t="n">
        <x:f>IF(C35="","",MAX(0,M35-N35))</x:f>
        <x:v>32</x:v>
      </x:c>
      <x:c r="P35" s="13" t="n">
        <x:f>IF(C35="","",IF(K35="","",K35-TODAY()))</x:f>
        <x:v>72</x:v>
      </x:c>
      <x:c r="Q35" t="str">
        <x:f>IF(C35="","",IF(OR(H35="Completed",K35=""),"",IF(K35&lt;TODAY(),"Yes","No")))</x:f>
        <x:v>No</x:v>
      </x:c>
      <x:c r="R35" t="str">
        <x:v>SF-005</x:v>
      </x:c>
      <x:c r="S35" t="str">
        <x:v>Meter readings, utility feeds, cost rates, and baseline comparisons</x:v>
      </x:c>
    </x:row>
    <x:row r="36">
      <x:c r="A36" t="str">
        <x:v>SF-008</x:v>
      </x:c>
      <x:c r="B36" t="str">
        <x:v>Smart Factory | Alarms</x:v>
      </x:c>
      <x:c r="C36" t="str">
        <x:v>Incident / Alarm Workflow with Escalation</x:v>
      </x:c>
      <x:c r="D36" t="str">
        <x:v>Create severity-aware alarm workflows with acknowledgement, escalation timers, and shift handoff.</x:v>
      </x:c>
      <x:c r="E36" t="str">
        <x:v>UI + Backend</x:v>
      </x:c>
      <x:c r="F36" t="str">
        <x:v>High</x:v>
      </x:c>
      <x:c r="G36" t="str">
        <x:v>Medium</x:v>
      </x:c>
      <x:c r="H36" t="str">
        <x:v>Pending</x:v>
      </x:c>
      <x:c r="I36" t="str"/>
      <x:c r="J36" s="90" t="n">
        <x:v>46336</x:v>
      </x:c>
      <x:c r="K36" s="90" t="n">
        <x:v>46342</x:v>
      </x:c>
      <x:c r="L36" s="13" t="n">
        <x:v>5</x:v>
      </x:c>
      <x:c r="M36" s="13" t="n">
        <x:f>IF(C36="","",L36*'Lists &amp; Guide'!$E$5)</x:f>
        <x:v>40</x:v>
      </x:c>
      <x:c r="N36" s="13"/>
      <x:c r="O36" s="13" t="n">
        <x:f>IF(C36="","",MAX(0,M36-N36))</x:f>
        <x:v>40</x:v>
      </x:c>
      <x:c r="P36" s="13" t="n">
        <x:f>IF(C36="","",IF(K36="","",K36-TODAY()))</x:f>
        <x:v>75</x:v>
      </x:c>
      <x:c r="Q36" t="str">
        <x:f>IF(C36="","",IF(OR(H36="Completed",K36=""),"",IF(K36&lt;TODAY(),"Yes","No")))</x:f>
        <x:v>No</x:v>
      </x:c>
      <x:c r="R36" t="str">
        <x:v>SF-005</x:v>
      </x:c>
      <x:c r="S36" t="str">
        <x:v>Alarm events, severity, acknowledgement, escalation policy, and audit trail</x:v>
      </x:c>
    </x:row>
    <x:row r="37">
      <x:c r="A37" t="str">
        <x:v>SF-009</x:v>
      </x:c>
      <x:c r="B37" t="str">
        <x:v>Smart Factory | Governance</x:v>
      </x:c>
      <x:c r="C37" t="str">
        <x:v>Role-based Operations Views &amp; Audit Log</x:v>
      </x:c>
      <x:c r="D37" t="str">
        <x:v>Add role-aware plant views and a searchable audit trail for controls, configuration, and approvals.</x:v>
      </x:c>
      <x:c r="E37" t="str">
        <x:v>UI + Backend</x:v>
      </x:c>
      <x:c r="F37" t="str">
        <x:v>Medium</x:v>
      </x:c>
      <x:c r="G37" t="str">
        <x:v>Medium</x:v>
      </x:c>
      <x:c r="H37" t="str">
        <x:v>Pending</x:v>
      </x:c>
      <x:c r="I37" t="str"/>
      <x:c r="J37" s="90" t="n">
        <x:v>46343</x:v>
      </x:c>
      <x:c r="K37" s="90" t="n">
        <x:v>46346</x:v>
      </x:c>
      <x:c r="L37" s="13" t="n">
        <x:v>4</x:v>
      </x:c>
      <x:c r="M37" s="13" t="n">
        <x:f>IF(C37="","",L37*'Lists &amp; Guide'!$E$5)</x:f>
        <x:v>32</x:v>
      </x:c>
      <x:c r="N37" s="13"/>
      <x:c r="O37" s="13" t="n">
        <x:f>IF(C37="","",MAX(0,M37-N37))</x:f>
        <x:v>32</x:v>
      </x:c>
      <x:c r="P37" s="13" t="n">
        <x:f>IF(C37="","",IF(K37="","",K37-TODAY()))</x:f>
        <x:v>79</x:v>
      </x:c>
      <x:c r="Q37" t="str">
        <x:f>IF(C37="","",IF(OR(H37="Completed",K37=""),"",IF(K37&lt;TODAY(),"Yes","No")))</x:f>
        <x:v>No</x:v>
      </x:c>
      <x:c r="R37" t="str">
        <x:v>SF-001</x:v>
      </x:c>
      <x:c r="S37" t="str">
        <x:v>Roles, permissions, operator identity, change events, and retention</x:v>
      </x:c>
    </x:row>
    <x:row r="38">
      <x:c r="A38" t="str">
        <x:v>SF-010</x:v>
      </x:c>
      <x:c r="B38" t="str">
        <x:v>Smart Factory | Operations</x:v>
      </x:c>
      <x:c r="C38" t="str">
        <x:v>Factory Deployment Observability &amp; Runbooks</x:v>
      </x:c>
      <x:c r="D38" t="str">
        <x:v>Prepare health checks, deployment dashboards, rollback guidance, and operator runbooks for plant rollout.</x:v>
      </x:c>
      <x:c r="E38" t="str">
        <x:v>DevOps</x:v>
      </x:c>
      <x:c r="F38" t="str">
        <x:v>Medium</x:v>
      </x:c>
      <x:c r="G38" t="str">
        <x:v>Medium</x:v>
      </x:c>
      <x:c r="H38" t="str">
        <x:v>Pending</x:v>
      </x:c>
      <x:c r="I38" t="str"/>
      <x:c r="J38" s="90" t="n">
        <x:v>46343</x:v>
      </x:c>
      <x:c r="K38" s="90" t="n">
        <x:v>46346</x:v>
      </x:c>
      <x:c r="L38" s="13" t="n">
        <x:v>4</x:v>
      </x:c>
      <x:c r="M38" s="13" t="n">
        <x:f>IF(C38="","",L38*'Lists &amp; Guide'!$E$5)</x:f>
        <x:v>32</x:v>
      </x:c>
      <x:c r="N38" s="13"/>
      <x:c r="O38" s="13" t="n">
        <x:f>IF(C38="","",MAX(0,M38-N38))</x:f>
        <x:v>32</x:v>
      </x:c>
      <x:c r="P38" s="13" t="n">
        <x:f>IF(C38="","",IF(K38="","",K38-TODAY()))</x:f>
        <x:v>79</x:v>
      </x:c>
      <x:c r="Q38" t="str">
        <x:f>IF(C38="","",IF(OR(H38="Completed",K38=""),"",IF(K38&lt;TODAY(),"Yes","No")))</x:f>
        <x:v>No</x:v>
      </x:c>
      <x:c r="R38" t="str">
        <x:v>SF-002; SF-008</x:v>
      </x:c>
      <x:c r="S38" t="str">
        <x:v>Service health, deployment state, alerts, rollback steps, and support ownership</x:v>
      </x:c>
    </x:row>
    <x:row r="39">
      <x:c r="A39"/>
      <x:c r="B39"/>
      <x:c r="C39"/>
      <x:c r="D39"/>
      <x:c r="E39"/>
      <x:c r="F39"/>
      <x:c r="G39"/>
      <x:c r="H39"/>
      <x:c r="I39"/>
      <x:c r="J39" s="90"/>
      <x:c r="K39" s="90"/>
      <x:c r="L39" s="13"/>
      <x:c r="M39" s="13" t="str">
        <x:f>IF(C39="","",L39*'Lists &amp; Guide'!$E$5)</x:f>
      </x:c>
      <x:c r="N39" s="13"/>
      <x:c r="O39" s="13" t="str">
        <x:f>IF(C39="","",MAX(0,M39-N39))</x:f>
      </x:c>
      <x:c r="P39" s="13" t="str">
        <x:f>IF(C39="","",IF(K39="","",K39-TODAY()))</x:f>
      </x:c>
      <x:c r="Q39" t="str">
        <x:f>IF(C39="","",IF(OR(H39="Completed",K39=""),"",IF(K39&lt;TODAY(),"Yes","No")))</x:f>
      </x:c>
      <x:c r="R39"/>
      <x:c r="S39"/>
    </x:row>
    <x:row r="40">
      <x:c r="A40"/>
      <x:c r="B40"/>
      <x:c r="C40"/>
      <x:c r="D40"/>
      <x:c r="E40"/>
      <x:c r="F40"/>
      <x:c r="G40"/>
      <x:c r="H40"/>
      <x:c r="I40"/>
      <x:c r="J40" s="90"/>
      <x:c r="K40" s="90"/>
      <x:c r="L40" s="13"/>
      <x:c r="M40" s="13" t="str">
        <x:f>IF(C40="","",L40*'Lists &amp; Guide'!$E$5)</x:f>
      </x:c>
      <x:c r="N40" s="13"/>
      <x:c r="O40" s="13" t="str">
        <x:f>IF(C40="","",MAX(0,M40-N40))</x:f>
      </x:c>
      <x:c r="P40" s="13" t="str">
        <x:f>IF(C40="","",IF(K40="","",K40-TODAY()))</x:f>
      </x:c>
      <x:c r="Q40" t="str">
        <x:f>IF(C40="","",IF(OR(H40="Completed",K40=""),"",IF(K40&lt;TODAY(),"Yes","No")))</x:f>
      </x:c>
      <x:c r="R40"/>
      <x:c r="S40"/>
    </x:row>
    <x:row r="41">
      <x:c r="A41"/>
      <x:c r="B41"/>
      <x:c r="C41"/>
      <x:c r="D41"/>
      <x:c r="E41"/>
      <x:c r="F41"/>
      <x:c r="G41"/>
      <x:c r="H41"/>
      <x:c r="I41"/>
      <x:c r="J41" s="90"/>
      <x:c r="K41" s="90"/>
      <x:c r="L41" s="13"/>
      <x:c r="M41" s="13" t="str">
        <x:f>IF(C41="","",L41*'Lists &amp; Guide'!$E$5)</x:f>
      </x:c>
      <x:c r="N41" s="13"/>
      <x:c r="O41" s="13" t="str">
        <x:f>IF(C41="","",MAX(0,M41-N41))</x:f>
      </x:c>
      <x:c r="P41" s="13" t="str">
        <x:f>IF(C41="","",IF(K41="","",K41-TODAY()))</x:f>
      </x:c>
      <x:c r="Q41" t="str">
        <x:f>IF(C41="","",IF(OR(H41="Completed",K41=""),"",IF(K41&lt;TODAY(),"Yes","No")))</x:f>
      </x:c>
      <x:c r="R41"/>
      <x:c r="S41"/>
    </x:row>
    <x:row r="42">
      <x:c r="A42"/>
      <x:c r="B42"/>
      <x:c r="C42"/>
      <x:c r="D42"/>
      <x:c r="E42"/>
      <x:c r="F42"/>
      <x:c r="G42"/>
      <x:c r="H42"/>
      <x:c r="I42"/>
      <x:c r="J42" s="90"/>
      <x:c r="K42" s="90"/>
      <x:c r="L42" s="13"/>
      <x:c r="M42" s="13" t="str">
        <x:f>IF(C42="","",L42*'Lists &amp; Guide'!$E$5)</x:f>
      </x:c>
      <x:c r="N42" s="13"/>
      <x:c r="O42" s="13" t="str">
        <x:f>IF(C42="","",MAX(0,M42-N42))</x:f>
      </x:c>
      <x:c r="P42" s="13" t="str">
        <x:f>IF(C42="","",IF(K42="","",K42-TODAY()))</x:f>
      </x:c>
      <x:c r="Q42" t="str">
        <x:f>IF(C42="","",IF(OR(H42="Completed",K42=""),"",IF(K42&lt;TODAY(),"Yes","No")))</x:f>
      </x:c>
      <x:c r="R42"/>
      <x:c r="S42"/>
    </x:row>
    <x:row r="43">
      <x:c r="A43"/>
      <x:c r="B43"/>
      <x:c r="C43"/>
      <x:c r="D43"/>
      <x:c r="E43"/>
      <x:c r="F43"/>
      <x:c r="G43"/>
      <x:c r="H43"/>
      <x:c r="I43"/>
      <x:c r="J43" s="90"/>
      <x:c r="K43" s="90"/>
      <x:c r="L43" s="13"/>
      <x:c r="M43" s="13" t="str">
        <x:f>IF(C43="","",L43*'Lists &amp; Guide'!$E$5)</x:f>
      </x:c>
      <x:c r="N43" s="13"/>
      <x:c r="O43" s="13" t="str">
        <x:f>IF(C43="","",MAX(0,M43-N43))</x:f>
      </x:c>
      <x:c r="P43" s="13" t="str">
        <x:f>IF(C43="","",IF(K43="","",K43-TODAY()))</x:f>
      </x:c>
      <x:c r="Q43" t="str">
        <x:f>IF(C43="","",IF(OR(H43="Completed",K43=""),"",IF(K43&lt;TODAY(),"Yes","No")))</x:f>
      </x:c>
      <x:c r="R43"/>
      <x:c r="S43"/>
    </x:row>
    <x:row r="44">
      <x:c r="A44"/>
      <x:c r="B44"/>
      <x:c r="C44"/>
      <x:c r="D44"/>
      <x:c r="E44"/>
      <x:c r="F44"/>
      <x:c r="G44"/>
      <x:c r="H44"/>
      <x:c r="I44"/>
      <x:c r="J44" s="90"/>
      <x:c r="K44" s="90"/>
      <x:c r="L44" s="13"/>
      <x:c r="M44" s="13" t="str">
        <x:f>IF(C44="","",L44*'Lists &amp; Guide'!$E$5)</x:f>
      </x:c>
      <x:c r="N44" s="13"/>
      <x:c r="O44" s="13" t="str">
        <x:f>IF(C44="","",MAX(0,M44-N44))</x:f>
      </x:c>
      <x:c r="P44" s="13" t="str">
        <x:f>IF(C44="","",IF(K44="","",K44-TODAY()))</x:f>
      </x:c>
      <x:c r="Q44" t="str">
        <x:f>IF(C44="","",IF(OR(H44="Completed",K44=""),"",IF(K44&lt;TODAY(),"Yes","No")))</x:f>
      </x:c>
      <x:c r="R44"/>
      <x:c r="S44"/>
    </x:row>
    <x:row r="45">
      <x:c r="A45"/>
      <x:c r="B45"/>
      <x:c r="C45"/>
      <x:c r="D45"/>
      <x:c r="E45"/>
      <x:c r="F45"/>
      <x:c r="G45"/>
      <x:c r="H45"/>
      <x:c r="I45"/>
      <x:c r="J45" s="90"/>
      <x:c r="K45" s="90"/>
      <x:c r="L45" s="13"/>
      <x:c r="M45" s="13" t="str">
        <x:f>IF(C45="","",L45*'Lists &amp; Guide'!$E$5)</x:f>
      </x:c>
      <x:c r="N45" s="13"/>
      <x:c r="O45" s="13" t="str">
        <x:f>IF(C45="","",MAX(0,M45-N45))</x:f>
      </x:c>
      <x:c r="P45" s="13" t="str">
        <x:f>IF(C45="","",IF(K45="","",K45-TODAY()))</x:f>
      </x:c>
      <x:c r="Q45" t="str">
        <x:f>IF(C45="","",IF(OR(H45="Completed",K45=""),"",IF(K45&lt;TODAY(),"Yes","No")))</x:f>
      </x:c>
      <x:c r="R45"/>
      <x:c r="S45"/>
    </x:row>
    <x:row r="46">
      <x:c r="A46"/>
      <x:c r="B46"/>
      <x:c r="C46"/>
      <x:c r="D46"/>
      <x:c r="E46"/>
      <x:c r="F46"/>
      <x:c r="G46"/>
      <x:c r="H46"/>
      <x:c r="I46"/>
      <x:c r="J46" s="90"/>
      <x:c r="K46" s="90"/>
      <x:c r="L46" s="13"/>
      <x:c r="M46" s="13" t="str">
        <x:f>IF(C46="","",L46*'Lists &amp; Guide'!$E$5)</x:f>
      </x:c>
      <x:c r="N46" s="13"/>
      <x:c r="O46" s="13" t="str">
        <x:f>IF(C46="","",MAX(0,M46-N46))</x:f>
      </x:c>
      <x:c r="P46" s="13" t="str">
        <x:f>IF(C46="","",IF(K46="","",K46-TODAY()))</x:f>
      </x:c>
      <x:c r="Q46" t="str">
        <x:f>IF(C46="","",IF(OR(H46="Completed",K46=""),"",IF(K46&lt;TODAY(),"Yes","No")))</x:f>
      </x:c>
      <x:c r="R46"/>
      <x:c r="S46"/>
    </x:row>
    <x:row r="47">
      <x:c r="A47"/>
      <x:c r="B47"/>
      <x:c r="C47"/>
      <x:c r="D47"/>
      <x:c r="E47"/>
      <x:c r="F47"/>
      <x:c r="G47"/>
      <x:c r="H47"/>
      <x:c r="I47"/>
      <x:c r="J47" s="90"/>
      <x:c r="K47" s="90"/>
      <x:c r="L47" s="13"/>
      <x:c r="M47" s="13" t="str">
        <x:f>IF(C47="","",L47*'Lists &amp; Guide'!$E$5)</x:f>
      </x:c>
      <x:c r="N47" s="13"/>
      <x:c r="O47" s="13" t="str">
        <x:f>IF(C47="","",MAX(0,M47-N47))</x:f>
      </x:c>
      <x:c r="P47" s="13" t="str">
        <x:f>IF(C47="","",IF(K47="","",K47-TODAY()))</x:f>
      </x:c>
      <x:c r="Q47" t="str">
        <x:f>IF(C47="","",IF(OR(H47="Completed",K47=""),"",IF(K47&lt;TODAY(),"Yes","No")))</x:f>
      </x:c>
      <x:c r="R47"/>
      <x:c r="S47"/>
    </x:row>
    <x:row r="48">
      <x:c r="A48"/>
      <x:c r="B48"/>
      <x:c r="C48"/>
      <x:c r="D48"/>
      <x:c r="E48"/>
      <x:c r="F48"/>
      <x:c r="G48"/>
      <x:c r="H48"/>
      <x:c r="I48"/>
      <x:c r="J48" s="90"/>
      <x:c r="K48" s="90"/>
      <x:c r="L48" s="13"/>
      <x:c r="M48" s="13" t="str">
        <x:f>IF(C48="","",L48*'Lists &amp; Guide'!$E$5)</x:f>
      </x:c>
      <x:c r="N48" s="13"/>
      <x:c r="O48" s="13" t="str">
        <x:f>IF(C48="","",MAX(0,M48-N48))</x:f>
      </x:c>
      <x:c r="P48" s="13" t="str">
        <x:f>IF(C48="","",IF(K48="","",K48-TODAY()))</x:f>
      </x:c>
      <x:c r="Q48" t="str">
        <x:f>IF(C48="","",IF(OR(H48="Completed",K48=""),"",IF(K48&lt;TODAY(),"Yes","No")))</x:f>
      </x:c>
      <x:c r="R48"/>
      <x:c r="S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</x:row>
  </x:sheetData>
  <x:mergeCells>
    <x:mergeCell ref="A1:S1"/>
    <x:mergeCell ref="A2:S2"/>
  </x:mergeCells>
  <x:conditionalFormatting sqref="H9:H108">
    <x:cfRule type="containsText" dxfId="0" priority="1" operator="containsText" text="Pending"/>
    <x:cfRule type="containsText" dxfId="1" priority="2" operator="containsText" text="In Progress"/>
    <x:cfRule type="containsText" dxfId="2" priority="3" operator="containsText" text="Blocked"/>
    <x:cfRule type="containsText" dxfId="3" priority="4" operator="containsText" text="Completed"/>
  </x:conditionalFormatting>
  <x:conditionalFormatting sqref="Q9:Q108">
    <x:cfRule type="containsText" dxfId="4" priority="5" operator="containsText" text="Yes"/>
  </x:conditionalFormatting>
  <x:conditionalFormatting sqref="F9:F108">
    <x:cfRule type="containsText" dxfId="5" priority="6" operator="containsText" text="P1"/>
    <x:cfRule type="containsText" dxfId="6" priority="7" operator="containsText" text="High"/>
  </x:conditionalFormatting>
  <x:dataValidations count="12">
    <x:dataValidation type="list" sqref="F9:F108">
      <x:formula1>'Lists &amp; Guide'!$B$4:$B$7</x:formula1>
    </x:dataValidation>
    <x:dataValidation type="list" sqref="G9:G108">
      <x:formula1>'Lists &amp; Guide'!$C$4:$C$6</x:formula1>
    </x:dataValidation>
    <x:dataValidation type="list" sqref="H9:H108">
      <x:formula1>'Lists &amp; Guide'!$A$4:$A$8</x:formula1>
    </x:dataValidation>
    <x:dataValidation type="decimal" operator="greaterThanOrEqual" sqref="N9:N108">
      <x:formula1>0</x:formula1>
    </x:dataValidation>
    <x:dataValidation type="list" sqref="F9:F28">
      <x:formula1>'Lists &amp; Guide'!$B$4:$B$7</x:formula1>
    </x:dataValidation>
    <x:dataValidation type="list" sqref="G9:G28">
      <x:formula1>'Lists &amp; Guide'!$C$4:$C$6</x:formula1>
    </x:dataValidation>
    <x:dataValidation type="list" sqref="H9:H28">
      <x:formula1>'Lists &amp; Guide'!$A$4:$A$8</x:formula1>
    </x:dataValidation>
    <x:dataValidation type="decimal" operator="greaterThanOrEqual" sqref="N9:N28">
      <x:formula1>0</x:formula1>
    </x:dataValidation>
    <x:dataValidation type="list" sqref="F9:F48">
      <x:formula1>'Lists &amp; Guide'!$B$4:$B$7</x:formula1>
    </x:dataValidation>
    <x:dataValidation type="list" sqref="G9:G48">
      <x:formula1>'Lists &amp; Guide'!$C$4:$C$6</x:formula1>
    </x:dataValidation>
    <x:dataValidation type="list" sqref="H9:H48">
      <x:formula1>'Lists &amp; Guide'!$A$4:$A$8</x:formula1>
    </x:dataValidation>
    <x:dataValidation type="decimal" operator="greaterThanOrEqual" sqref="N9:N4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87d5e3c0064b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8" hidden="0" customWidth="1"/>
    <x:col min="5" max="5" width="28" hidden="0" customWidth="1"/>
  </x:cols>
  <x:sheetData>
    <x:row r="1">
      <x:c r="A1" s="65" t="str">
        <x:v>Lists &amp; Guide</x:v>
      </x:c>
      <x:c r="B1" s="65"/>
      <x:c r="C1" s="65"/>
      <x:c r="D1" s="65"/>
      <x:c r="E1" s="65"/>
    </x:row>
    <x:row r="2">
      <x:c r="A2" s="50"/>
      <x:c r="B2" s="50"/>
      <x:c r="C2" s="50"/>
      <x:c r="D2" s="50"/>
      <x:c r="E2" s="50"/>
    </x:row>
    <x:row r="3">
      <x:c r="A3" s="66" t="str">
        <x:v>Status</x:v>
      </x:c>
      <x:c r="B3" s="67" t="str">
        <x:v>Priority</x:v>
      </x:c>
      <x:c r="C3" s="67" t="str">
        <x:v>Complexity</x:v>
      </x:c>
      <x:c r="D3" s="67" t="str">
        <x:v>Type</x:v>
      </x:c>
      <x:c r="E3" s="68" t="str">
        <x:v>Assumption</x:v>
      </x:c>
    </x:row>
    <x:row r="4">
      <x:c r="A4" s="69" t="str">
        <x:v>Pending</x:v>
      </x:c>
      <x:c r="B4" s="70" t="str">
        <x:v>High</x:v>
      </x:c>
      <x:c r="C4" s="70" t="str">
        <x:v>High</x:v>
      </x:c>
      <x:c r="D4" s="70" t="str">
        <x:v>UI</x:v>
      </x:c>
      <x:c r="E4" s="71" t="str">
        <x:v>Hours per workday</x:v>
      </x:c>
    </x:row>
    <x:row r="5">
      <x:c r="A5" s="69" t="str">
        <x:v>In Progress</x:v>
      </x:c>
      <x:c r="B5" s="70" t="str">
        <x:v>Medium</x:v>
      </x:c>
      <x:c r="C5" s="70" t="str">
        <x:v>Medium</x:v>
      </x:c>
      <x:c r="D5" s="70" t="str">
        <x:v>Backend</x:v>
      </x:c>
      <x:c r="E5" s="72" t="n">
        <x:v>8</x:v>
      </x:c>
    </x:row>
    <x:row r="6">
      <x:c r="A6" s="69" t="str">
        <x:v>Blocked</x:v>
      </x:c>
      <x:c r="B6" s="70" t="str">
        <x:v>Low</x:v>
      </x:c>
      <x:c r="C6" s="70" t="str">
        <x:v>Low</x:v>
      </x:c>
      <x:c r="D6" s="70" t="str">
        <x:v>UI + Backend</x:v>
      </x:c>
      <x:c r="E6" s="71"/>
    </x:row>
    <x:row r="7">
      <x:c r="A7" s="69" t="str">
        <x:v>On Hold</x:v>
      </x:c>
      <x:c r="B7" s="70" t="str">
        <x:v>P1 - Critical</x:v>
      </x:c>
      <x:c r="C7" s="70"/>
      <x:c r="D7" s="70" t="str">
        <x:v>DevOps</x:v>
      </x:c>
      <x:c r="E7" s="71"/>
    </x:row>
    <x:row r="8">
      <x:c r="A8" s="73" t="str">
        <x:v>Completed</x:v>
      </x:c>
      <x:c r="B8" s="74"/>
      <x:c r="C8" s="74"/>
      <x:c r="D8" s="74"/>
      <x:c r="E8" s="75"/>
    </x:row>
    <x:row r="9">
      <x:c r="A9" s="50"/>
      <x:c r="B9" s="50"/>
      <x:c r="C9" s="50"/>
      <x:c r="D9" s="50"/>
      <x:c r="E9" s="50"/>
    </x:row>
    <x:row r="10">
      <x:c r="A10" s="55" t="str">
        <x:v>How to use</x:v>
      </x:c>
      <x:c r="B10" s="55"/>
      <x:c r="C10" s="55"/>
      <x:c r="D10" s="55"/>
      <x:c r="E10" s="55"/>
    </x:row>
    <x:row r="11">
      <x:c r="A11" s="56" t="str">
        <x:v>1. Update Status, Owner, Actual Hours, Due Date, and Notes in Activity Tracker.</x:v>
      </x:c>
      <x:c r="B11" s="57"/>
      <x:c r="C11" s="57"/>
      <x:c r="D11" s="57"/>
      <x:c r="E11" s="58"/>
    </x:row>
    <x:row r="12">
      <x:c r="A12" s="59" t="str">
        <x:v>2. Remaining Hours, Days Left, Overdue?, and Dashboard totals update automatically.</x:v>
      </x:c>
      <x:c r="B12" s="60"/>
      <x:c r="C12" s="60"/>
      <x:c r="D12" s="60"/>
      <x:c r="E12" s="61"/>
    </x:row>
    <x:row r="13">
      <x:c r="A13" s="59" t="str">
        <x:v>3. Est. Hours is calculated as Est. Days × Hours per workday.</x:v>
      </x:c>
      <x:c r="B13" s="60"/>
      <x:c r="C13" s="60"/>
      <x:c r="D13" s="60"/>
      <x:c r="E13" s="61"/>
    </x:row>
    <x:row r="14">
      <x:c r="A14" s="59" t="str">
        <x:v>4. Overdue? compares Due Date with today's date and ignores Completed activities.</x:v>
      </x:c>
      <x:c r="B14" s="60"/>
      <x:c r="C14" s="60"/>
      <x:c r="D14" s="60"/>
      <x:c r="E14" s="61"/>
    </x:row>
    <x:row r="15">
      <x:c r="A15" s="62" t="str">
        <x:v>5. Starter set includes 10 tasks each for Connected Enterprise, Project QSR, and Smart Factory, based on the workspace references and requested themes.</x:v>
      </x:c>
      <x:c r="B15" s="63"/>
      <x:c r="C15" s="63"/>
      <x:c r="D15" s="63"/>
      <x:c r="E15" s="64"/>
    </x:row>
  </x:sheetData>
  <x:mergeCells>
    <x:mergeCell ref="A1:E1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